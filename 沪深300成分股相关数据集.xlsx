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34" windowHeight="75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<sst xmlns="http://schemas.openxmlformats.org/spreadsheetml/2006/main" count="1803" uniqueCount="948">
  <si>
    <t>证券代码</t>
  </si>
  <si>
    <t>证券简称</t>
  </si>
  <si>
    <t>所有制性质</t>
  </si>
  <si>
    <t>员工总数</t>
  </si>
  <si>
    <t>省份</t>
  </si>
  <si>
    <t>行业</t>
  </si>
  <si>
    <t>总资产（2025三季报）</t>
  </si>
  <si>
    <t>券商调研次数（2025）</t>
  </si>
  <si>
    <t>自由流通股本（股）</t>
  </si>
  <si>
    <t>总股本（股）</t>
  </si>
  <si>
    <t>流通A股占总股本比例</t>
  </si>
  <si>
    <t>上市日期</t>
  </si>
  <si>
    <t>成立日期</t>
  </si>
  <si>
    <t>成立到上市的天数</t>
  </si>
  <si>
    <t>大股东持股比例（第1名）</t>
  </si>
  <si>
    <t>大股东持股比例（第2名）</t>
  </si>
  <si>
    <t>大股东持股比例（第3名）</t>
  </si>
  <si>
    <t>大股东性质（前10名）</t>
  </si>
  <si>
    <t>股东户数（户）</t>
  </si>
  <si>
    <t>每股股利（2024）</t>
  </si>
  <si>
    <t>成交均价（2024）</t>
  </si>
  <si>
    <t>股息收益率（2024）</t>
  </si>
  <si>
    <t>每股收益（2024）</t>
  </si>
  <si>
    <t>股利支付率（2024）</t>
  </si>
  <si>
    <t>净资产收益率（2024）</t>
  </si>
  <si>
    <t>净利润率（2024）</t>
  </si>
  <si>
    <t>总资产周转率（2024）</t>
  </si>
  <si>
    <t>权益乘数（2024）</t>
  </si>
  <si>
    <t>经营活动产生的现金流量净额/营业收入（2024）</t>
  </si>
  <si>
    <t>现金比率（2024）</t>
  </si>
  <si>
    <t>营业总收入同比增长率（2024）</t>
  </si>
  <si>
    <t>每股股利（2022）</t>
  </si>
  <si>
    <t>成交均价（2022）</t>
  </si>
  <si>
    <t>股息收益率（2022）</t>
  </si>
  <si>
    <t>每股收益（2022）</t>
  </si>
  <si>
    <t>股利支付率（2022）</t>
  </si>
  <si>
    <t>净资产收益率（2022）</t>
  </si>
  <si>
    <t>净利润率（2022）</t>
  </si>
  <si>
    <t>总资产周转率（2022）</t>
  </si>
  <si>
    <t>权益乘数（2022）</t>
  </si>
  <si>
    <t>经营活动产生的现金流量净额/营业收入（2022）</t>
  </si>
  <si>
    <t>现金比率（2022）</t>
  </si>
  <si>
    <t>营业总收入同比增长率（2022）</t>
  </si>
  <si>
    <t>每股股利（2023）</t>
  </si>
  <si>
    <t>成交均价（2023）</t>
  </si>
  <si>
    <t>股息收益率（2023）</t>
  </si>
  <si>
    <t>每股收益（2023）</t>
  </si>
  <si>
    <t>股利支付率（2023）</t>
  </si>
  <si>
    <t>净资产收益率（2023）</t>
  </si>
  <si>
    <t>净利润率（2023）</t>
  </si>
  <si>
    <t>总资产周转率（2023）</t>
  </si>
  <si>
    <t>权益乘数（2023）</t>
  </si>
  <si>
    <t>经营活动产生的现金流量净额/营业收入（2023）</t>
  </si>
  <si>
    <t>现金比率（2023）</t>
  </si>
  <si>
    <t>营业总收入同比增长率（2023）</t>
  </si>
  <si>
    <t>000001.SZ</t>
  </si>
  <si>
    <t>平安银行</t>
  </si>
  <si>
    <t>公众企业</t>
  </si>
  <si>
    <t>广东省</t>
  </si>
  <si>
    <t>金融业</t>
  </si>
  <si>
    <t>境内法人;境内法人;境外法人;境内法人;境内法人;境内法人;境内法人;境内法人;境内法人;境内法人</t>
  </si>
  <si>
    <t>000002.SZ</t>
  </si>
  <si>
    <t>万科A</t>
  </si>
  <si>
    <t>房地产业</t>
  </si>
  <si>
    <t>国有法人;境外法人;国有法人;境外法人;基金、理财产品等;境内一般法人;基金、理财产品等;基金、理财产品等;基金、理财产品等;基金、理财产品等</t>
  </si>
  <si>
    <t>000063.SZ</t>
  </si>
  <si>
    <t>中兴通讯</t>
  </si>
  <si>
    <t>制造业</t>
  </si>
  <si>
    <t>000100.SZ</t>
  </si>
  <si>
    <t>TCL科技</t>
  </si>
  <si>
    <t>境内自然人/一般法人;国有法人;境外法人;国有法人;境内一般法人;基金、理财产品等;境外法人;基金、理财产品等;国有法人</t>
  </si>
  <si>
    <t>000157.SZ</t>
  </si>
  <si>
    <t>中联重科</t>
  </si>
  <si>
    <t>湖南省</t>
  </si>
  <si>
    <t>境外法人;国有法人;境内非国有法人;其他;其他;国有法人;境外法人;境外法人;其他;其他</t>
  </si>
  <si>
    <t>000166.SZ</t>
  </si>
  <si>
    <t>申万宏源</t>
  </si>
  <si>
    <t>中央国有企业</t>
  </si>
  <si>
    <t>新疆维吾尔自治区</t>
  </si>
  <si>
    <t>国有法人;国家股;境外法人;国有法人;国有法人;国有法人;境内一般法人;境外法人;国有法人;基金、理财产品等</t>
  </si>
  <si>
    <t>000301.SZ</t>
  </si>
  <si>
    <t>东方盛虹</t>
  </si>
  <si>
    <t>民营企业</t>
  </si>
  <si>
    <t>江苏省</t>
  </si>
  <si>
    <t>000333.SZ</t>
  </si>
  <si>
    <t>美的集团</t>
  </si>
  <si>
    <t>境内非国有法人;境外法人;境外法人;境内非国有法人;境内自然人;国有法人;境内自然人;其他;其他;境外自然人</t>
  </si>
  <si>
    <t>000338.SZ</t>
  </si>
  <si>
    <t>潍柴动力</t>
  </si>
  <si>
    <t>地方国有企业</t>
  </si>
  <si>
    <t>山东省</t>
  </si>
  <si>
    <t>外资股东;国有法人;境外法人;国有法人;境内非国有法人;基金、理财产品等;境外法人;基金、理财产品等;基金、理财产品等;基金、理财产品等</t>
  </si>
  <si>
    <t>000408.SZ</t>
  </si>
  <si>
    <t>藏格矿业</t>
  </si>
  <si>
    <t>青海省</t>
  </si>
  <si>
    <t>000425.SZ</t>
  </si>
  <si>
    <t>徐工机械</t>
  </si>
  <si>
    <t>国有法人;境内非国有法人;国有法人;其他;境内非国有法人;国有法人;境内非国有法人;境内非国有法人;境内非国有法人;境内非国有法人</t>
  </si>
  <si>
    <t>000538.SZ</t>
  </si>
  <si>
    <t>云南白药</t>
  </si>
  <si>
    <t>云南省</t>
  </si>
  <si>
    <t>国有法人;境内非国有法人;国有法人;境外法人;境内非国有法人;境内非国有法人;国有法人;其他;其他;境内自然人</t>
  </si>
  <si>
    <t>000568.SZ</t>
  </si>
  <si>
    <t>泸州老窖</t>
  </si>
  <si>
    <t>四川省</t>
  </si>
  <si>
    <t>国有法人;国有法人;其他;境外法人;其他;其他;其他;其他;国有法人;其他</t>
  </si>
  <si>
    <t>000596.SZ</t>
  </si>
  <si>
    <t>古井贡酒</t>
  </si>
  <si>
    <t>安徽省</t>
  </si>
  <si>
    <t>国有法人;其他;境外法人;其他;境外法人;境外法人;其他;境外法人;其他;境外法人</t>
  </si>
  <si>
    <t>000617.SZ</t>
  </si>
  <si>
    <t>中油资本</t>
  </si>
  <si>
    <t>国有法人;国有法人;国有法人;境内非国有法人;境外法人;其他;境内自然人;其他;其他;其他</t>
  </si>
  <si>
    <t>000625.SZ</t>
  </si>
  <si>
    <t>长安汽车</t>
  </si>
  <si>
    <t>重庆</t>
  </si>
  <si>
    <t>000630.SZ</t>
  </si>
  <si>
    <t>铜陵有色</t>
  </si>
  <si>
    <t>国有法人;境外法人;境内非国有法人;境内非国有法人;境内非国有法人;境内非国有法人;国有法人;境内非国有法人;境内非国有法人;境内非国有法人</t>
  </si>
  <si>
    <t>000651.SZ</t>
  </si>
  <si>
    <t>格力电器</t>
  </si>
  <si>
    <t>境内非国有法人;境内非国有法人;境外法人;国有法人;境内非国有法人;境内自然人;其他;其他;其他;其他</t>
  </si>
  <si>
    <t>000661.SZ</t>
  </si>
  <si>
    <t>长春高新</t>
  </si>
  <si>
    <t>吉林省</t>
  </si>
  <si>
    <t>国有法人;境内自然人;境外自然人;境外法人;国有法人;其他;其他;其他;其他;其他</t>
  </si>
  <si>
    <t>000708.SZ</t>
  </si>
  <si>
    <t>中信特钢</t>
  </si>
  <si>
    <t>湖北省</t>
  </si>
  <si>
    <t>国有法人;国有法人;国有法人;境外法人;其他;其他;其他;其他;其他;其他</t>
  </si>
  <si>
    <t>000725.SZ</t>
  </si>
  <si>
    <t>京东方A</t>
  </si>
  <si>
    <t>北京</t>
  </si>
  <si>
    <t>国有法人;境外法人;国有法人;其他;国有法人;其他;境内非国有法人;其他;其他;其他</t>
  </si>
  <si>
    <t>000768.SZ</t>
  </si>
  <si>
    <t>中航西飞</t>
  </si>
  <si>
    <t>陕西省</t>
  </si>
  <si>
    <t>国有法人;国有法人;境内非国有法人;其他;其他;其他;其他;其他;其他;其他</t>
  </si>
  <si>
    <t>000776.SZ</t>
  </si>
  <si>
    <t>广发证券</t>
  </si>
  <si>
    <t>000786.SZ</t>
  </si>
  <si>
    <t>北新建材</t>
  </si>
  <si>
    <t>国有法人;境外法人;国有法人;境内自然人;其他;境外法人;其他;其他;其他;其他</t>
  </si>
  <si>
    <t>000792.SZ</t>
  </si>
  <si>
    <t>盐湖股份</t>
  </si>
  <si>
    <t>国有法人;国有法人;国有法人;国有法人;国有法人;境外法人;境内非国有法人;国有法人;国有法人;境内非国有法人</t>
  </si>
  <si>
    <t>000807.SZ</t>
  </si>
  <si>
    <t>云铝股份</t>
  </si>
  <si>
    <t>国有法人;国有法人;境外法人;其他;其他;其他;其他;其他;国有法人;境内自然人</t>
  </si>
  <si>
    <t>000858.SZ</t>
  </si>
  <si>
    <t>五粮液</t>
  </si>
  <si>
    <t>国有法人;国有法人;境外法人;其他;其他;国有法人;其他;其他;其他;其他</t>
  </si>
  <si>
    <t>000876.SZ</t>
  </si>
  <si>
    <t>新希望</t>
  </si>
  <si>
    <t>境内非国有法人;境内非国有法人;境内非国有法人;境内非国有法人;境内非国有法人;境内非国有法人;境外法人;境内非国有法人;其他;其他</t>
  </si>
  <si>
    <t>000895.SZ</t>
  </si>
  <si>
    <t>双汇发展</t>
  </si>
  <si>
    <t>外资企业</t>
  </si>
  <si>
    <t>河南省</t>
  </si>
  <si>
    <t>境外法人;其他;境外法人;境内非国有法人;国有法人;其他;其他;其他;其他;其他</t>
  </si>
  <si>
    <t>000938.SZ</t>
  </si>
  <si>
    <t>紫光股份</t>
  </si>
  <si>
    <t>境内非国有法人;其他;其他;境外法人;其他;国有法人;其他;其他;其他;其他</t>
  </si>
  <si>
    <t>000963.SZ</t>
  </si>
  <si>
    <t>华东医药</t>
  </si>
  <si>
    <t>浙江省</t>
  </si>
  <si>
    <t>批发和零售业</t>
  </si>
  <si>
    <t>境内非国有法人;国有法人;境外法人;境内非国有法人;其他;其他;其他;其他;其他;其他</t>
  </si>
  <si>
    <t>000975.SZ</t>
  </si>
  <si>
    <t>山金国际</t>
  </si>
  <si>
    <t>内蒙古自治区</t>
  </si>
  <si>
    <t>采矿业</t>
  </si>
  <si>
    <t>国有法人;境内自然人;境外法人;其他;其他;其他;其他;其他;境外法人;其他</t>
  </si>
  <si>
    <t>000977.SZ</t>
  </si>
  <si>
    <t>浪潮信息</t>
  </si>
  <si>
    <t>000983.SZ</t>
  </si>
  <si>
    <t>山西焦煤</t>
  </si>
  <si>
    <t>山西省</t>
  </si>
  <si>
    <t>国有法人;其他;其他;境外法人;国有法人;其他;境内非国有法人;境内非国有法人;其他;国有法人</t>
  </si>
  <si>
    <t>000999.SZ</t>
  </si>
  <si>
    <t>华润三九</t>
  </si>
  <si>
    <t>国有法人;国有法人;境外法人;境内非国有法人;境内非国有法人;境内非国有法人;境内非国有法人;境外法人;国有法人;境内非国有法人</t>
  </si>
  <si>
    <t>001391.SZ</t>
  </si>
  <si>
    <t>国货航</t>
  </si>
  <si>
    <t>交通运输、仓储和邮政业</t>
  </si>
  <si>
    <t>国有法人;境内非国有法人;境外法人;境外法人;国有法人;其他;国有法人;其他;境内非国有法人;境内非国有法人</t>
  </si>
  <si>
    <t>001965.SZ</t>
  </si>
  <si>
    <t>招商公路</t>
  </si>
  <si>
    <t>天津</t>
  </si>
  <si>
    <t>国有法人;国有法人;国有法人;国有法人;其他;其他;境外法人;国有法人;其他;其他</t>
  </si>
  <si>
    <t>001979.SZ</t>
  </si>
  <si>
    <t>招商蛇口</t>
  </si>
  <si>
    <t>国有法人;国有法人;国有法人;国有法人;境外法人;基金、理财产品等;基金、理财产品等;境内一般法人;国有法人;国有法人</t>
  </si>
  <si>
    <t>002001.SZ</t>
  </si>
  <si>
    <t>新和成</t>
  </si>
  <si>
    <t>境内非国有法人;境外法人;其他;其他;其他;其他;其他;其他;其他;境内自然人</t>
  </si>
  <si>
    <t>002027.SZ</t>
  </si>
  <si>
    <t>分众传媒</t>
  </si>
  <si>
    <t>上海</t>
  </si>
  <si>
    <t>租赁和商务服务业</t>
  </si>
  <si>
    <t>境外法人;境内非国有法人;境外法人;其他;境外法人;其他;其他;境外法人;其他;其他</t>
  </si>
  <si>
    <t>002028.SZ</t>
  </si>
  <si>
    <t>思源电气</t>
  </si>
  <si>
    <t>境外法人;境内自然人;境内自然人;境内自然人;境外法人;其他;其他;其他;其他;境内自然人</t>
  </si>
  <si>
    <t>002049.SZ</t>
  </si>
  <si>
    <t>紫光国微</t>
  </si>
  <si>
    <t>河北省</t>
  </si>
  <si>
    <t>境内非国有法人;境外法人;其他;其他;其他;其他;其他;境内非国有法人;其他;其他</t>
  </si>
  <si>
    <t>002050.SZ</t>
  </si>
  <si>
    <t>三花智控</t>
  </si>
  <si>
    <t>境内非国有法人;境内非国有法人;境外法人;境外法人;境内自然人;其他;其他;其他;其他;其他</t>
  </si>
  <si>
    <t>002074.SZ</t>
  </si>
  <si>
    <t>国轩高科</t>
  </si>
  <si>
    <t>境内非国有法人;境内非国有法人;境内自然人;境外法人;境内自然人;其他;境外法人;其他;其他;其他</t>
  </si>
  <si>
    <t>002142.SZ</t>
  </si>
  <si>
    <t>宁波银行</t>
  </si>
  <si>
    <t>国有法人;境外法人;境内非国有法人;境外法人;境内非国有法人;境内非国有法人;境外法人;国有法人;国有法人;国有法人</t>
  </si>
  <si>
    <t>002179.SZ</t>
  </si>
  <si>
    <t>中航光电</t>
  </si>
  <si>
    <t>国有法人;国有法人;国有法人;其他;其他;境外法人;其他;其他;其他;其他</t>
  </si>
  <si>
    <t>002230.SZ</t>
  </si>
  <si>
    <t>科大讯飞</t>
  </si>
  <si>
    <t>信息传输、软件和信息技术服务业</t>
  </si>
  <si>
    <t>国有法人;境内自然人;国有法人;境外法人;境内非国有法人;其他;其他;其他;其他;境内自然人</t>
  </si>
  <si>
    <t>002236.SZ</t>
  </si>
  <si>
    <t>大华股份</t>
  </si>
  <si>
    <t>境内自然人;国有法人;境内自然人;境外法人;境内自然人;境内自然人;其他;境内非国有法人;其他;其他</t>
  </si>
  <si>
    <t>002241.SZ</t>
  </si>
  <si>
    <t>歌尔股份</t>
  </si>
  <si>
    <t>境内非国有法人;境内自然人;境内自然人;境外法人;境内一般法人;其他;其他;其他;其他;其他</t>
  </si>
  <si>
    <t>002252.SZ</t>
  </si>
  <si>
    <t>上海莱士</t>
  </si>
  <si>
    <t>集体企业</t>
  </si>
  <si>
    <t>境内非国有法人;境外法人;国有法人;国有法人;其他;境外法人;其他;国有法人;境外法人;其他</t>
  </si>
  <si>
    <t>002304.SZ</t>
  </si>
  <si>
    <t>洋河股份</t>
  </si>
  <si>
    <t>国有法人;境内非国有法人;国有法人;国有法人;其他;境外法人;其他;境内非国有法人;其他;境内自然人</t>
  </si>
  <si>
    <t>002311.SZ</t>
  </si>
  <si>
    <t>海大集团</t>
  </si>
  <si>
    <t>002352.SZ</t>
  </si>
  <si>
    <t>顺丰控股</t>
  </si>
  <si>
    <t>境内非国有法人;境外法人;境外法人;其他;境内非国有法人;境内非国有法人;其他;境内自然人;境内自然人;其他</t>
  </si>
  <si>
    <t>002371.SZ</t>
  </si>
  <si>
    <t>北方华创</t>
  </si>
  <si>
    <t>国有法人;境外法人;国有法人;国有法人;国有法人;其他;其他;其他;其他;其他</t>
  </si>
  <si>
    <t>002384.SZ</t>
  </si>
  <si>
    <t>东山精密</t>
  </si>
  <si>
    <t>境内自然人;境内自然人;境外法人;境内自然人;其他;其他;其他;其他;其他;其他</t>
  </si>
  <si>
    <t>002415.SZ</t>
  </si>
  <si>
    <t>海康威视</t>
  </si>
  <si>
    <t>国有法人;境外自然人;境内非国有法人;其他;国有法人;境内非国有法人;国有法人;境内自然人;其他;国有法人</t>
  </si>
  <si>
    <t>002422.SZ</t>
  </si>
  <si>
    <t>科伦药业</t>
  </si>
  <si>
    <t>境内自然人;国有法人;其他;境外法人;其他;其他;其他;境内自然人;境内自然人;其他</t>
  </si>
  <si>
    <t>002459.SZ</t>
  </si>
  <si>
    <t>晶澳科技</t>
  </si>
  <si>
    <t>境内非国有法人;境外法人;其他;境内非国有法人;其他;其他;其他;其他;其他;其他</t>
  </si>
  <si>
    <t>002460.SZ</t>
  </si>
  <si>
    <t>赣锋锂业</t>
  </si>
  <si>
    <t>江西省</t>
  </si>
  <si>
    <t>境外法人;境内自然人;境内自然人;境外法人;其他;境内自然人;境内自然人;其他;其他;其他</t>
  </si>
  <si>
    <t>002463.SZ</t>
  </si>
  <si>
    <t>沪电股份</t>
  </si>
  <si>
    <t>境外法人;境外法人;境外法人;其他;境外法人;其他;其他;其他;其他;其他</t>
  </si>
  <si>
    <t>002466.SZ</t>
  </si>
  <si>
    <t>天齐锂业</t>
  </si>
  <si>
    <t>境内非国有法人;境外法人;境内自然人;境外法人;境内非国有法人;其他;其他;其他;其他;其他</t>
  </si>
  <si>
    <t>002475.SZ</t>
  </si>
  <si>
    <t>立讯精密</t>
  </si>
  <si>
    <t>境外法人;境外法人;境内非国有法人;境内非国有法人;境内非国有法人;国有法人;境内非国有法人;境内非国有法人;境内非国有法人;境内非国有法人</t>
  </si>
  <si>
    <t>002493.SZ</t>
  </si>
  <si>
    <t>荣盛石化</t>
  </si>
  <si>
    <t>境内非国有法人;境外法人;境内自然人;境外法人;境内自然人;境内自然人;境内自然人;其他;其他;其他</t>
  </si>
  <si>
    <t>002594.SZ</t>
  </si>
  <si>
    <t>比亚迪</t>
  </si>
  <si>
    <t>境外法人;境内自然人;境内自然人;境内非国有法人;境外法人;境内自然人;境内自然人;其他;境内自然人;其他</t>
  </si>
  <si>
    <t>002600.SZ</t>
  </si>
  <si>
    <t>领益智造</t>
  </si>
  <si>
    <t>境内非国有法人;境外法人;境外自然人;其他;其他;其他;其他;其他;其他;其他</t>
  </si>
  <si>
    <t>002601.SZ</t>
  </si>
  <si>
    <t>龙佰集团</t>
  </si>
  <si>
    <t>境内自然人;境内自然人;境内自然人;境内自然人;境内自然人;境内非国有法人;其他;境外法人;其他;境内自然人</t>
  </si>
  <si>
    <t>002625.SZ</t>
  </si>
  <si>
    <t>光启技术</t>
  </si>
  <si>
    <t>002648.SZ</t>
  </si>
  <si>
    <t>卫星化学</t>
  </si>
  <si>
    <t>境内非国有法人;境外自然人;境外法人;境内非国有法人;境内自然人;其他;其他;其他;其他;其他</t>
  </si>
  <si>
    <t>002709.SZ</t>
  </si>
  <si>
    <t>天赐材料</t>
  </si>
  <si>
    <t>境内自然人;其他;其他;境内自然人;境内自然人;其他;境内自然人;其他;其他;其他</t>
  </si>
  <si>
    <t>002714.SZ</t>
  </si>
  <si>
    <t>牧原股份</t>
  </si>
  <si>
    <t>农、林、牧、渔业</t>
  </si>
  <si>
    <t>境内自然人;境内非国有法人;境外法人;境内自然人;境内非国有法人;境内自然人;其他;其他;国有法人;其他</t>
  </si>
  <si>
    <t>002736.SZ</t>
  </si>
  <si>
    <t>国信证券</t>
  </si>
  <si>
    <t>国有法人;国有法人;国有法人;国有法人;国有法人;国有法人;国有法人;境外法人;国有法人;其他</t>
  </si>
  <si>
    <t>002916.SZ</t>
  </si>
  <si>
    <t>深南电路</t>
  </si>
  <si>
    <t>国有法人;境外法人;其他;其他;其他;其他;其他;其他;其他;其他</t>
  </si>
  <si>
    <t>002920.SZ</t>
  </si>
  <si>
    <t>德赛西威</t>
  </si>
  <si>
    <t>002938.SZ</t>
  </si>
  <si>
    <t>鹏鼎控股</t>
  </si>
  <si>
    <t>境外法人;境外法人;境外法人;其他;其他;境外法人;其他;其他;其他;其他</t>
  </si>
  <si>
    <t>003816.SZ</t>
  </si>
  <si>
    <t>中国广核</t>
  </si>
  <si>
    <t>电力、热力、燃气及水生产和供应业</t>
  </si>
  <si>
    <t>国有法人;境外法人;国有法人;国有法人;国有法人;境外法人;境外法人;国有法人;其他;其他</t>
  </si>
  <si>
    <t>300014.SZ</t>
  </si>
  <si>
    <t>亿纬锂能</t>
  </si>
  <si>
    <t>300015.SZ</t>
  </si>
  <si>
    <t>爱尔眼科</t>
  </si>
  <si>
    <t>卫生和社会工作</t>
  </si>
  <si>
    <t>境内非国有法人;境内自然人;境内自然人;境外法人;其他;境外自然人;其他;其他;其他;境内非国有法人</t>
  </si>
  <si>
    <t>300033.SZ</t>
  </si>
  <si>
    <t>同花顺</t>
  </si>
  <si>
    <t>境内自然人;境内自然人;境内非国有法人;境内自然人;境内自然人;境外法人;境内非国有法人;其他;其他;其他</t>
  </si>
  <si>
    <t>300059.SZ</t>
  </si>
  <si>
    <t>东方财富</t>
  </si>
  <si>
    <t>境内自然人;境外法人;境内自然人;其他;其他;其他;其他;其他;境内自然人;国有法人</t>
  </si>
  <si>
    <t>300122.SZ</t>
  </si>
  <si>
    <t>智飞生物</t>
  </si>
  <si>
    <t>境内自然人;境内自然人;境内自然人;境外法人;其他;其他;境内自然人;其他;境内自然人;其他</t>
  </si>
  <si>
    <t>300124.SZ</t>
  </si>
  <si>
    <t>汇川技术</t>
  </si>
  <si>
    <t>境外法人;境内非国有法人;境内自然人;境内自然人;境内自然人;境内自然人;其他;境内自然人;境内自然人;境内自然人</t>
  </si>
  <si>
    <t>300251.SZ</t>
  </si>
  <si>
    <t>光线传媒</t>
  </si>
  <si>
    <t>文化、体育和娱乐业</t>
  </si>
  <si>
    <t>境内非国有法人;境内非国有法人;境内自然人;境内自然人;境内自然人;境外法人;其他;其他;境内自然人;其他</t>
  </si>
  <si>
    <t>300274.SZ</t>
  </si>
  <si>
    <t>阳光电源</t>
  </si>
  <si>
    <t>境内自然人;境外法人;其他;其他;其他;其他;境内自然人;其他;其他;境外法人</t>
  </si>
  <si>
    <t>300308.SZ</t>
  </si>
  <si>
    <t>中际旭创</t>
  </si>
  <si>
    <t>境内非国有法人;境内自然人;境外法人;境内非国有法人;境内非国有法人;其他;境外法人;其他;其他;境内非国有法人</t>
  </si>
  <si>
    <t>300316.SZ</t>
  </si>
  <si>
    <t>晶盛机电</t>
  </si>
  <si>
    <t>境内非国有法人;境外法人;境内自然人;境内自然人;其他;其他;其他;境内自然人;境内自然人;其他</t>
  </si>
  <si>
    <t>300347.SZ</t>
  </si>
  <si>
    <t>泰格医药</t>
  </si>
  <si>
    <t>科学研究和技术服务业</t>
  </si>
  <si>
    <t>境内自然人;境外法人;境内自然人;境外法人;其他;其他;其他;其他;境内自然人;其他</t>
  </si>
  <si>
    <t>300394.SZ</t>
  </si>
  <si>
    <t>天孚通信</t>
  </si>
  <si>
    <t>300408.SZ</t>
  </si>
  <si>
    <t>三环集团</t>
  </si>
  <si>
    <t>境内非国有法人;境外法人;境内自然人;国有法人;其他;其他;境内自然人;境外法人;其他;其他</t>
  </si>
  <si>
    <t>300413.SZ</t>
  </si>
  <si>
    <t>芒果超媒</t>
  </si>
  <si>
    <t>国有法人;国有法人;国有法人;其他;其他;其他;其他;其他;其他;其他</t>
  </si>
  <si>
    <t>300418.SZ</t>
  </si>
  <si>
    <t>昆仑万维</t>
  </si>
  <si>
    <t>境内非国有法人;境内自然人;境内自然人;境外法人;其他;其他;其他;其他;其他;其他</t>
  </si>
  <si>
    <t>300433.SZ</t>
  </si>
  <si>
    <t>蓝思科技</t>
  </si>
  <si>
    <t>境外法人;境外法人;境内非国有法人;境内非国有法人;境外法人;其他;其他;其他;其他;其他</t>
  </si>
  <si>
    <t>300442.SZ</t>
  </si>
  <si>
    <t>润泽科技</t>
  </si>
  <si>
    <t>境内非国有法人;境内非国有法人;其他;境外法人;其他;境内非国有法人;境内非国有法人;境内非国有法人;境内非国有法人;其他</t>
  </si>
  <si>
    <t>300476.SZ</t>
  </si>
  <si>
    <t>胜宏科技</t>
  </si>
  <si>
    <t>300498.SZ</t>
  </si>
  <si>
    <t>温氏股份</t>
  </si>
  <si>
    <t>境内自然人;境内自然人;境内自然人;境内自然人;境内自然人;境内自然人;境内自然人;境外法人;境内自然人;境内自然人</t>
  </si>
  <si>
    <t>300502.SZ</t>
  </si>
  <si>
    <t>新易盛</t>
  </si>
  <si>
    <t>300628.SZ</t>
  </si>
  <si>
    <t>亿联网络</t>
  </si>
  <si>
    <t>福建省</t>
  </si>
  <si>
    <t>境内自然人;境内自然人;境内自然人;境内自然人;境内非国有法人;境内自然人;境内自然人;境外法人;境内自然人;其他</t>
  </si>
  <si>
    <t>300661.SZ</t>
  </si>
  <si>
    <t>圣邦股份</t>
  </si>
  <si>
    <t>300750.SZ</t>
  </si>
  <si>
    <t>宁德时代</t>
  </si>
  <si>
    <t>300759.SZ</t>
  </si>
  <si>
    <t>康龙化成</t>
  </si>
  <si>
    <t>300760.SZ</t>
  </si>
  <si>
    <t>迈瑞医疗</t>
  </si>
  <si>
    <t>境外法人;境外法人;境外法人;境外法人;其他;其他;其他;其他;其他;其他</t>
  </si>
  <si>
    <t>300782.SZ</t>
  </si>
  <si>
    <t>卓胜微</t>
  </si>
  <si>
    <t>境内非国有法人;境外自然人;境内自然人;境内自然人;境外自然人;境内非国有法人;境外法人;境内非国有法人;境外自然人;其他</t>
  </si>
  <si>
    <t>300803.SZ</t>
  </si>
  <si>
    <t>指南针</t>
  </si>
  <si>
    <t>境内非国有法人;境外法人;其他;境内自然人;其他;境内自然人;其他;其他;境内自然人;其他</t>
  </si>
  <si>
    <t>300832.SZ</t>
  </si>
  <si>
    <t>新产业</t>
  </si>
  <si>
    <t>境内非国有法人;境内自然人;境内非国有法人;境外法人;境内自然人;境内自然人;其他;其他;其他;其他</t>
  </si>
  <si>
    <t>300866.SZ</t>
  </si>
  <si>
    <t>安克创新</t>
  </si>
  <si>
    <t>境内自然人;境外自然人;境外法人;境内自然人;境内自然人;其他;境内自然人;境内自然人;其他;境内非国有法人</t>
  </si>
  <si>
    <t>300896.SZ</t>
  </si>
  <si>
    <t>爱美客</t>
  </si>
  <si>
    <t>境内自然人;境内非国有法人;境内自然人;境内非国有法人;境内非国有法人;境内自然人;境内自然人;境内自然人;境外法人;其他</t>
  </si>
  <si>
    <t>300979.SZ</t>
  </si>
  <si>
    <t>华利集团</t>
  </si>
  <si>
    <t>300999.SZ</t>
  </si>
  <si>
    <t>金龙鱼</t>
  </si>
  <si>
    <t>境外法人;境外法人;境内自然人;其他;其他;其他;其他;其他;其他;境内自然人</t>
  </si>
  <si>
    <t>301236.SZ</t>
  </si>
  <si>
    <t>软通动力</t>
  </si>
  <si>
    <t>301269.SZ</t>
  </si>
  <si>
    <t>华大九天</t>
  </si>
  <si>
    <t>302132.SZ</t>
  </si>
  <si>
    <t>中航成飞</t>
  </si>
  <si>
    <t>国有法人;国有法人;国有法人;国有法人;境内非国有法人;境内非国有法人;境内非国有法人;境内非国有法人;境内非国有法人;境内非国有法人</t>
  </si>
  <si>
    <t>600000.SH</t>
  </si>
  <si>
    <t>浦发银行</t>
  </si>
  <si>
    <t>600009.SH</t>
  </si>
  <si>
    <t>上海机场</t>
  </si>
  <si>
    <t>国有法人;国有法人;国有法人;其他;其他;其他;国有法人;其他;其他;其他</t>
  </si>
  <si>
    <t>600010.SH</t>
  </si>
  <si>
    <t>包钢股份</t>
  </si>
  <si>
    <t>国有法人;未知;未知;未知;未知;国有法人;未知;未知;未知;未知</t>
  </si>
  <si>
    <t>600011.SH</t>
  </si>
  <si>
    <t>华能国际</t>
  </si>
  <si>
    <t>国有法人;境外法人;国有法人;国有法人;境外法人;国有法人;国有法人;国有法人;国有法人;其他</t>
  </si>
  <si>
    <t>600015.SH</t>
  </si>
  <si>
    <t>华夏银行</t>
  </si>
  <si>
    <t>国有法人;国有法人;国有法人;国有法人;国有法人;境外法人;境内非国有法人;国有法人;国有法人;其他</t>
  </si>
  <si>
    <t>600016.SH</t>
  </si>
  <si>
    <t>民生银行</t>
  </si>
  <si>
    <t>其他;境内法人;境内法人;境内非国有法人;境内非国有法人;境内法人;境内非国有法人;境内非国有法人;其他;境内非国有法人</t>
  </si>
  <si>
    <t>600018.SH</t>
  </si>
  <si>
    <t>上港集团</t>
  </si>
  <si>
    <t>国有法人;境外法人;国有法人;国有法人;国有法人;国有法人;其他;国有法人;国有法人;其他</t>
  </si>
  <si>
    <t>600019.SH</t>
  </si>
  <si>
    <t>宝钢股份</t>
  </si>
  <si>
    <t>国有法人;国有法人;国有法人;境外法人;国有法人;国有法人;国有法人;其他;国有法人;其他</t>
  </si>
  <si>
    <t>600023.SH</t>
  </si>
  <si>
    <t>浙能电力</t>
  </si>
  <si>
    <t>国有法人;国有法人;国有法人;其他;国有法人;其他;其他;其他;其他;其他</t>
  </si>
  <si>
    <t>600025.SH</t>
  </si>
  <si>
    <t>华能水电</t>
  </si>
  <si>
    <t>国有法人;国有法人;国有法人</t>
  </si>
  <si>
    <t>600026.SH</t>
  </si>
  <si>
    <t>中远海能</t>
  </si>
  <si>
    <t>600027.SH</t>
  </si>
  <si>
    <t>华电国际</t>
  </si>
  <si>
    <t>国有法人;境外法人;国有法人;未知;国有法人;国有法人;未知;未知;国有法人;国有法人</t>
  </si>
  <si>
    <t>600028.SH</t>
  </si>
  <si>
    <t>中国石化</t>
  </si>
  <si>
    <t>600029.SH</t>
  </si>
  <si>
    <t>南方航空</t>
  </si>
  <si>
    <t>国有法人;国有法人;境外法人;境外法人;国有法人;境外法人;国有法人;境内非国有法人;其他;其他</t>
  </si>
  <si>
    <t>600030.SH</t>
  </si>
  <si>
    <t>中信证券</t>
  </si>
  <si>
    <t>国有法人;境外法人;国有法人;境外法人;国有法人;未知;国有法人;未知;未知;未知</t>
  </si>
  <si>
    <t>600031.SH</t>
  </si>
  <si>
    <t>三一重工</t>
  </si>
  <si>
    <t>境内非国有法人;其他;境内自然人;国有法人;其他;其他;其他;其他;其他;国有法人</t>
  </si>
  <si>
    <t>600036.SH</t>
  </si>
  <si>
    <t>招商银行</t>
  </si>
  <si>
    <t>境外法人;国有法人;国有法人;国有法人;国有法人;境内法人;境外法人;国有法人;国有法人;境内法人</t>
  </si>
  <si>
    <t>600039.SH</t>
  </si>
  <si>
    <t>四川路桥</t>
  </si>
  <si>
    <t>建筑业</t>
  </si>
  <si>
    <t>600048.SH</t>
  </si>
  <si>
    <t>保利发展</t>
  </si>
  <si>
    <t>600050.SH</t>
  </si>
  <si>
    <t>中国联通</t>
  </si>
  <si>
    <t>600061.SH</t>
  </si>
  <si>
    <t>国投资本</t>
  </si>
  <si>
    <t>国有法人;国有法人;国有法人;其他;其他;其他;其他;国有法人;其他;其他</t>
  </si>
  <si>
    <t>600066.SH</t>
  </si>
  <si>
    <t>宇通客车</t>
  </si>
  <si>
    <t>境内非国有法人;境外法人;境内非国有法人;未知;未知;未知;国有法人;未知;未知;未知</t>
  </si>
  <si>
    <t>600085.SH</t>
  </si>
  <si>
    <t>同仁堂</t>
  </si>
  <si>
    <t>国有法人;未知;境外法人;其他;其他;其他;其他;其他;其他;其他</t>
  </si>
  <si>
    <t>600089.SH</t>
  </si>
  <si>
    <t>特变电工</t>
  </si>
  <si>
    <t>境内非国有法人;境内非国有法人;其他;未知;未知;未知;未知;未知;未知;未知</t>
  </si>
  <si>
    <t>600104.SH</t>
  </si>
  <si>
    <t>上汽集团</t>
  </si>
  <si>
    <t>国有法人;国有法人;国有法人;未知;未知;未知;未知;未知;未知;未知</t>
  </si>
  <si>
    <t>600111.SH</t>
  </si>
  <si>
    <t>北方稀土</t>
  </si>
  <si>
    <t>国有法人;境外法人;境外法人;其他;其他;境内自然人;其他;其他;其他;其他</t>
  </si>
  <si>
    <t>600115.SH</t>
  </si>
  <si>
    <t>中国东航</t>
  </si>
  <si>
    <t>国有法人;境外法人;境内非国有法人;国有法人;境外法人;境内非国有法人;国有法人;国有法人;国有法人;境外法人</t>
  </si>
  <si>
    <t>600150.SH</t>
  </si>
  <si>
    <t>中国船舶</t>
  </si>
  <si>
    <t>国有法人;国有法人;国有法人;国有法人;其他;其他;其他;其他;其他;国有法人</t>
  </si>
  <si>
    <t>600160.SH</t>
  </si>
  <si>
    <t>巨化股份</t>
  </si>
  <si>
    <t>国有法人;其他;其他;其他;其他;国有法人;其他;其他;其他;其他</t>
  </si>
  <si>
    <t>600161.SH</t>
  </si>
  <si>
    <t>天坛生物</t>
  </si>
  <si>
    <t>国有法人;国有法人;未知;未知;未知;未知;国有法人;未知;未知;未知</t>
  </si>
  <si>
    <t>600176.SH</t>
  </si>
  <si>
    <t>中国巨石</t>
  </si>
  <si>
    <t>600183.SH</t>
  </si>
  <si>
    <t>生益科技</t>
  </si>
  <si>
    <t>600188.SH</t>
  </si>
  <si>
    <t>兖矿能源</t>
  </si>
  <si>
    <t>国有法人;境外法人;境外法人;其他;其他;其他;其他;其他;其他;其他</t>
  </si>
  <si>
    <t>600196.SH</t>
  </si>
  <si>
    <t>复星医药</t>
  </si>
  <si>
    <t>境内非国有法人;未知;其他;其他;证券投资基金;证券投资基金;证券投资基金;证券投资基金;境内自然人;证券投资基金</t>
  </si>
  <si>
    <t>600219.SH</t>
  </si>
  <si>
    <t>南山铝业</t>
  </si>
  <si>
    <t>境内非国有法人;境内非国有法人;其他;国有法人;其他;其他;其他;其他;其他;其他</t>
  </si>
  <si>
    <t>600233.SH</t>
  </si>
  <si>
    <t>圆通速递</t>
  </si>
  <si>
    <t>辽宁省</t>
  </si>
  <si>
    <t>600276.SH</t>
  </si>
  <si>
    <t>恒瑞医药</t>
  </si>
  <si>
    <t>境内非国有法人;境内非国有法人;其他;未知;国有法人;境内非国有法人;国有法人;其他;其他;其他</t>
  </si>
  <si>
    <t>600309.SH</t>
  </si>
  <si>
    <t>万华化学</t>
  </si>
  <si>
    <t>600346.SH</t>
  </si>
  <si>
    <t>恒力石化</t>
  </si>
  <si>
    <t>境内非国有法人;境内非国有法人;境内自然人;境外法人;其他;国有法人;境内非国有法人;境外法人;其他;其他</t>
  </si>
  <si>
    <t>600362.SH</t>
  </si>
  <si>
    <t>江西铜业</t>
  </si>
  <si>
    <t>国有法人;境外法人;国有法人;境外法人;未知;未知;未知;未知;未知;未知</t>
  </si>
  <si>
    <t>600372.SH</t>
  </si>
  <si>
    <t>中航机载</t>
  </si>
  <si>
    <t>国有法人;国有法人;国有法人;国有法人;国有法人;国有法人;未知;国有法人;未知;未知</t>
  </si>
  <si>
    <t>600377.SH</t>
  </si>
  <si>
    <t>宁沪高速</t>
  </si>
  <si>
    <t>国有法人;国有法人;境外法人;境外法人;境外法人;其他;其他;国有法人;其他;国有法人</t>
  </si>
  <si>
    <t>600406.SH</t>
  </si>
  <si>
    <t>国电南瑞</t>
  </si>
  <si>
    <t>国有法人;未知;未知;境内自然人;未知;未知;未知;未知;未知;国有法人</t>
  </si>
  <si>
    <t>600415.SH</t>
  </si>
  <si>
    <t>小商品城</t>
  </si>
  <si>
    <t>国有法人;未知;国有法人;境内自然人;其他;境内自然人;国有法人;其他;其他;其他</t>
  </si>
  <si>
    <t>600426.SH</t>
  </si>
  <si>
    <t>华鲁恒升</t>
  </si>
  <si>
    <t>国有法人;未知;未知;未知;未知;未知;未知;未知;未知;未知</t>
  </si>
  <si>
    <t>600436.SH</t>
  </si>
  <si>
    <t>片仔癀</t>
  </si>
  <si>
    <t>国有法人;境内自然人;国有法人;国有法人;未知;国有法人;国有法人;其他;国有法人;其他</t>
  </si>
  <si>
    <t>600438.SH</t>
  </si>
  <si>
    <t>通威股份</t>
  </si>
  <si>
    <t>未知;未知;未知;未知;未知;未知;未知;未知;未知;未知</t>
  </si>
  <si>
    <t>600460.SH</t>
  </si>
  <si>
    <t>士兰微</t>
  </si>
  <si>
    <t>境内非国有法人;国有法人;其他;国有法人;其他;其他;其他;其他;境内自然人;其他</t>
  </si>
  <si>
    <t>600482.SH</t>
  </si>
  <si>
    <t>中国动力</t>
  </si>
  <si>
    <t>国有法人;国有法人;境内非国有法人;国有法人;国有法人;国有法人;国有法人;国有法人;国有法人;境内非国有法人</t>
  </si>
  <si>
    <t>600489.SH</t>
  </si>
  <si>
    <t>中金黄金</t>
  </si>
  <si>
    <t>国有法人;国有法人;未知;未知;未知;未知;未知;未知;未知;未知</t>
  </si>
  <si>
    <t>600515.SH</t>
  </si>
  <si>
    <t>海南机场</t>
  </si>
  <si>
    <t>海南省</t>
  </si>
  <si>
    <t>国有法人;其他;其他;境内非国有法人;国有法人;未知;境外法人;国有法人;其他;未知</t>
  </si>
  <si>
    <t>600519.SH</t>
  </si>
  <si>
    <t>贵州茅台</t>
  </si>
  <si>
    <t>贵州省</t>
  </si>
  <si>
    <t>600522.SH</t>
  </si>
  <si>
    <t>中天科技</t>
  </si>
  <si>
    <t>境内非国有法人;其他;国有法人;境内自然人;其他;其他;其他;其他;其他;其他</t>
  </si>
  <si>
    <t>600547.SH</t>
  </si>
  <si>
    <t>山东黄金</t>
  </si>
  <si>
    <t>600570.SH</t>
  </si>
  <si>
    <t>恒生电子</t>
  </si>
  <si>
    <t>境内非国有法人;境外法人;未知;境内自然人;其他;其他;国有法人;境外自然人;其他;未知</t>
  </si>
  <si>
    <t>600584.SH</t>
  </si>
  <si>
    <t>长电科技</t>
  </si>
  <si>
    <t>国有法人;国有法人;其他;其他;其他;其他;其他;其他;其他;其他</t>
  </si>
  <si>
    <t>600585.SH</t>
  </si>
  <si>
    <t>海螺水泥</t>
  </si>
  <si>
    <t>国有法人;境外法人;境外法人;国有法人;国有法人;其他;其他;其他;其他;其他</t>
  </si>
  <si>
    <t>600588.SH</t>
  </si>
  <si>
    <t>用友网络</t>
  </si>
  <si>
    <t>境内非国有法人;境内非国有法人;境内非国有法人;境内非国有法人;其他;境内非国有法人;国有法人;其他;其他;境内自然人</t>
  </si>
  <si>
    <t>600600.SH</t>
  </si>
  <si>
    <t>青岛啤酒</t>
  </si>
  <si>
    <t>境外法人;国有法人;国有法人;其他;境外法人;其他;其他;其他;其他;其他</t>
  </si>
  <si>
    <t>600660.SH</t>
  </si>
  <si>
    <t>福耀玻璃</t>
  </si>
  <si>
    <t>未知;未知;境外法人;境内非国有法人;未知;未知;未知;未知;未知;境内非国有法人</t>
  </si>
  <si>
    <t>600674.SH</t>
  </si>
  <si>
    <t>川投能源</t>
  </si>
  <si>
    <t>国有法人;国有法人;未知;未知;未知;未知;未知;国有法人;未知;未知</t>
  </si>
  <si>
    <t>600690.SH</t>
  </si>
  <si>
    <t>海尔智家</t>
  </si>
  <si>
    <t>境外法人;境内非国有法人;境内非国有法人;境外法人;未知;未知;境内非国有法人;境内非国有法人;未知;未知</t>
  </si>
  <si>
    <t>600741.SH</t>
  </si>
  <si>
    <t>华域汽车</t>
  </si>
  <si>
    <t>国有法人;境外法人;国有法人;其他;其他;其他;其他;其他;其他;其他</t>
  </si>
  <si>
    <t>600760.SH</t>
  </si>
  <si>
    <t>中航沈飞</t>
  </si>
  <si>
    <t>国有法人;国有法人;国有法人;其他;国有法人;其他;国有法人;国有法人;其他;国有法人</t>
  </si>
  <si>
    <t>600795.SH</t>
  </si>
  <si>
    <t>国电电力</t>
  </si>
  <si>
    <t>国有法人;国有法人;境外法人;国有法人;国有法人;未知;未知;未知;未知;未知</t>
  </si>
  <si>
    <t>600803.SH</t>
  </si>
  <si>
    <t>新奥股份</t>
  </si>
  <si>
    <t>境外法人;境内非国有法人;境内非国有法人;其他;其他;境内非国有法人;其他;其他;其他;其他</t>
  </si>
  <si>
    <t>600809.SH</t>
  </si>
  <si>
    <t>山西汾酒</t>
  </si>
  <si>
    <t>600845.SH</t>
  </si>
  <si>
    <t>宝信软件</t>
  </si>
  <si>
    <t>国有法人;未知;国有法人;未知;未知;未知;未知;未知;未知;未知</t>
  </si>
  <si>
    <t>600875.SH</t>
  </si>
  <si>
    <t>东方电气</t>
  </si>
  <si>
    <t>国有法人;境外法人;国有法人;国有法人;其他;其他;其他;其他;境内自然人;境内自然人</t>
  </si>
  <si>
    <t>600886.SH</t>
  </si>
  <si>
    <t>国投电力</t>
  </si>
  <si>
    <t>国有法人;国有法人;国有法人;国有法人;国有法人;其他;其他;境外法人;境外法人;其他</t>
  </si>
  <si>
    <t>600887.SH</t>
  </si>
  <si>
    <t>伊利股份</t>
  </si>
  <si>
    <t>国有法人;其他;境内自然人;其他;其他;其他;其他;其他;境内自然人;其他</t>
  </si>
  <si>
    <t>600893.SH</t>
  </si>
  <si>
    <t>航发动力</t>
  </si>
  <si>
    <t>国有法人;其他;国有法人;其他;国有法人;国有法人;其他;其他;国有法人;国有法人</t>
  </si>
  <si>
    <t>600900.SH</t>
  </si>
  <si>
    <t>长江电力</t>
  </si>
  <si>
    <t>600905.SH</t>
  </si>
  <si>
    <t>三峡能源</t>
  </si>
  <si>
    <t>600918.SH</t>
  </si>
  <si>
    <t>中泰证券</t>
  </si>
  <si>
    <t>国有法人;国有法人</t>
  </si>
  <si>
    <t>600919.SH</t>
  </si>
  <si>
    <t>江苏银行</t>
  </si>
  <si>
    <t>国有法人;国有法人;国有法人;境外法人;国有法人;国有法人;国有法人;国有法人;国有法人;国有法人</t>
  </si>
  <si>
    <t>600926.SH</t>
  </si>
  <si>
    <t>杭州银行</t>
  </si>
  <si>
    <t>国有法人;境内非国有法人;国有法人;国有法人;国有法人;国有法人;其他;国有法人;境内非国有法人;国有法人</t>
  </si>
  <si>
    <t>600930.SH</t>
  </si>
  <si>
    <t>华电新能</t>
  </si>
  <si>
    <t>国有法人;国有法人;国有法人;其他;国有法人;其他;其他;其他;其他;国有法人</t>
  </si>
  <si>
    <t>600938.SH</t>
  </si>
  <si>
    <t>中国海油</t>
  </si>
  <si>
    <t>国有法人;其他;其他;国有法人;国有法人;国有法人;国有法人;国有法人;国有法人;国有法人</t>
  </si>
  <si>
    <t>600941.SH</t>
  </si>
  <si>
    <t>中国移动</t>
  </si>
  <si>
    <t>国有法人;未知;未知;国有法人;国有法人;其他;其他;国有法人;国有法人;其他</t>
  </si>
  <si>
    <t>600958.SH</t>
  </si>
  <si>
    <t>东方证券</t>
  </si>
  <si>
    <t>国有法人;境外法人;国有法人;国有法人;国有法人;国有法人;国有法人;境外法人;其他;国有法人</t>
  </si>
  <si>
    <t>600989.SH</t>
  </si>
  <si>
    <t>宝丰能源</t>
  </si>
  <si>
    <t>宁夏回族自治区</t>
  </si>
  <si>
    <t>境内非国有法人;境外法人;境内自然人;境外法人;境内自然人;境内自然人;境外法人;国有法人;国有法人;国有法人</t>
  </si>
  <si>
    <t>600999.SH</t>
  </si>
  <si>
    <t>招商证券</t>
  </si>
  <si>
    <t>国有法人;国有法人;境外法人;国有法人;国有法人;国有法人;未知;境外法人;国有法人;其他</t>
  </si>
  <si>
    <t>601006.SH</t>
  </si>
  <si>
    <t>大秦铁路</t>
  </si>
  <si>
    <t>国有法人;国有法人;其他;其他;未知;其他;国有法人;国有法人;国有法人;其他</t>
  </si>
  <si>
    <t>601009.SH</t>
  </si>
  <si>
    <t>南京银行</t>
  </si>
  <si>
    <t>601012.SH</t>
  </si>
  <si>
    <t>隆基绿能</t>
  </si>
  <si>
    <t>境内自然人;境内自然人;境外法人;其他;境内自然人;其他;境内自然人;其他;国有法人;其他</t>
  </si>
  <si>
    <t>601018.SH</t>
  </si>
  <si>
    <t>宁波港</t>
  </si>
  <si>
    <t>国有法人;国有法人;国有法人;国有法人;国有法人;其他;其他;国有法人;境内自然人;境内自然人</t>
  </si>
  <si>
    <t>601021.SH</t>
  </si>
  <si>
    <t>春秋航空</t>
  </si>
  <si>
    <t>境内非国有法人;其他;境内非国有法人;其他;境内非国有法人;其他;境内非国有法人;其他;其他;其他</t>
  </si>
  <si>
    <t>601058.SH</t>
  </si>
  <si>
    <t>赛轮轮胎</t>
  </si>
  <si>
    <t>境内非国有法人;境内自然人;其他;其他;其他;其他;其他;其他;其他;其他</t>
  </si>
  <si>
    <t>601059.SH</t>
  </si>
  <si>
    <t>信达证券</t>
  </si>
  <si>
    <t>601066.SH</t>
  </si>
  <si>
    <t>中信建投</t>
  </si>
  <si>
    <t>国有法人;国家;境外法人;国有法人;国有法人;境内非国有法人;境外法人;境内非国有法人;其他;其他</t>
  </si>
  <si>
    <t>601077.SH</t>
  </si>
  <si>
    <t>渝农商行</t>
  </si>
  <si>
    <t>境外法人;国有法人;国有法人;国有法人;国有法人;国有法人;境外法人;国有法人;境内非国有法人;其他</t>
  </si>
  <si>
    <t>601088.SH</t>
  </si>
  <si>
    <t>中国神华</t>
  </si>
  <si>
    <t>国有法人;境外法人;其他;国有法人;境外法人;国有法人;其他;其他;其他;其他</t>
  </si>
  <si>
    <t>601100.SH</t>
  </si>
  <si>
    <t>恒立液压</t>
  </si>
  <si>
    <t>601111.SH</t>
  </si>
  <si>
    <t>中国国航</t>
  </si>
  <si>
    <t>国有法人;境外法人;境外法人;境外法人;其他;国有法人;境外法人;其他;其他;其他</t>
  </si>
  <si>
    <t>601117.SH</t>
  </si>
  <si>
    <t>中国化学</t>
  </si>
  <si>
    <t>601127.SH</t>
  </si>
  <si>
    <t>赛力斯</t>
  </si>
  <si>
    <t>境内非国有法人;国有法人;境内非国有法人;其他;其他;国有法人;国有法人;境内自然人;其他;其他</t>
  </si>
  <si>
    <t>601136.SH</t>
  </si>
  <si>
    <t>首创证券</t>
  </si>
  <si>
    <t>国有法人;国有法人;国有法人;境内非国有法人;境外法人;其他;其他;其他;其他;其他</t>
  </si>
  <si>
    <t>601138.SH</t>
  </si>
  <si>
    <t>工业富联</t>
  </si>
  <si>
    <t>境外法人;境内非国有法人;境外法人;境内非国有法人;境内非国有法人;其他;境外法人;境外法人;境外法人;境外法人</t>
  </si>
  <si>
    <t>601166.SH</t>
  </si>
  <si>
    <t>兴业银行</t>
  </si>
  <si>
    <t>国有法人;国有法人;国有法人;国家机关;国有法人;其他;境外法人;国有法人;国有法人;国有法人</t>
  </si>
  <si>
    <t>601169.SH</t>
  </si>
  <si>
    <t>北京银行</t>
  </si>
  <si>
    <t>境外法人;国有法人;国有法人;国有法人;其他;国有法人;国有法人;境内非国有法人;国有法人;国有法人</t>
  </si>
  <si>
    <t>601186.SH</t>
  </si>
  <si>
    <t>中国铁建</t>
  </si>
  <si>
    <t>601211.SH</t>
  </si>
  <si>
    <t>国泰海通</t>
  </si>
  <si>
    <t>境外法人;国有法人;国有法人;国有法人;国有法人;其他;国有法人;国有法人;其他;境外法人</t>
  </si>
  <si>
    <t>601225.SH</t>
  </si>
  <si>
    <t>陕西煤业</t>
  </si>
  <si>
    <t>国有法人;国有法人;境外法人;境内自然人;其他;国有法人;国有法人;其他;未知;其他</t>
  </si>
  <si>
    <t>601229.SH</t>
  </si>
  <si>
    <t>上海银行</t>
  </si>
  <si>
    <t>国有法人;国有法人;境外法人;境内非国有法人;国有法人;国有法人;境外法人;境外法人;国家;国有法人</t>
  </si>
  <si>
    <t>601236.SH</t>
  </si>
  <si>
    <t>红塔证券</t>
  </si>
  <si>
    <t>国有法人;国有法人;国有法人;国有法人;国有法人;国有法人;其他;国有法人;国有法人;其他</t>
  </si>
  <si>
    <t>601238.SH</t>
  </si>
  <si>
    <t>广汽集团</t>
  </si>
  <si>
    <t>国有法人;境外法人;国有法人;国有法人;其他;境内自然人;境外法人;国有法人;其他;其他</t>
  </si>
  <si>
    <t>601288.SH</t>
  </si>
  <si>
    <t>农业银行</t>
  </si>
  <si>
    <t>国家;国家;境外法人;国家;境内非国有法人;国有法人;国有法人;境外法人;国有法人;国有法人</t>
  </si>
  <si>
    <t>601298.SH</t>
  </si>
  <si>
    <t>青岛港</t>
  </si>
  <si>
    <t>国有法人;境外法人;境内非国有法人;国有法人;境内非国有法人;其他;国有法人;其他;境外法人;其他</t>
  </si>
  <si>
    <t>601318.SH</t>
  </si>
  <si>
    <t>中国平安</t>
  </si>
  <si>
    <t>境外法人;国有法人;其他;国有法人;境外法人;其他;其他;其他;国有法人;证券投资基金</t>
  </si>
  <si>
    <t>601319.SH</t>
  </si>
  <si>
    <t>中国人保</t>
  </si>
  <si>
    <t>国家;境外法人;国家;境外法人;其他;境内自然人;其他;其他;其他;境内自然人</t>
  </si>
  <si>
    <t>601328.SH</t>
  </si>
  <si>
    <t>交通银行</t>
  </si>
  <si>
    <t>国家;境外法人;国家;境外法人;国有法人;国有法人;境外法人;国有法人;国有法人;国有法人</t>
  </si>
  <si>
    <t>601336.SH</t>
  </si>
  <si>
    <t>新华保险</t>
  </si>
  <si>
    <t>国家;境外法人;国有法人;国有法人;其他;其他;境外法人;国有法人;其他;其他</t>
  </si>
  <si>
    <t>601360.SH</t>
  </si>
  <si>
    <t>三六零</t>
  </si>
  <si>
    <t>境内非国有法人;境内自然人;境内自然人;其他;其他;其他;境内自然人;境内自然人;其他;其他</t>
  </si>
  <si>
    <t>601377.SH</t>
  </si>
  <si>
    <t>兴业证券</t>
  </si>
  <si>
    <t>国家;国有法人;境内非国有法人;国有法人;境外法人;其他;国有法人;国有法人;其他;其他</t>
  </si>
  <si>
    <t>601390.SH</t>
  </si>
  <si>
    <t>中国中铁</t>
  </si>
  <si>
    <t>国有法人;其他;国有法人;国有法人;其他;国有法人;其他;其他;其他;其他</t>
  </si>
  <si>
    <t>601398.SH</t>
  </si>
  <si>
    <t>工商银行</t>
  </si>
  <si>
    <t>国家;国家;境外法人;国家;国有法人;境外法人;国有法人;其他;其他;其他</t>
  </si>
  <si>
    <t>601456.SH</t>
  </si>
  <si>
    <t>国联民生</t>
  </si>
  <si>
    <t>国有法人;境外法人;国有法人;境内非国有法人;国有法人;境内非国有法人;境内非国有法人;国有法人;国有法人;国有法人</t>
  </si>
  <si>
    <t>601600.SH</t>
  </si>
  <si>
    <t>中国铝业</t>
  </si>
  <si>
    <t>国有法人;境外法人;境外法人;国有法人;国有法人;国有法人;其他;其他;国家;其他</t>
  </si>
  <si>
    <t>601601.SH</t>
  </si>
  <si>
    <t>中国太保</t>
  </si>
  <si>
    <t>境外法人;国有法人;国有法人;国有法人;国有法人;其他;其他;国有法人;国有法人;国有法人</t>
  </si>
  <si>
    <t>601607.SH</t>
  </si>
  <si>
    <t>上海医药</t>
  </si>
  <si>
    <t>境外法人;国有法人;境内非国有法人;国有法人;国有法人;国有法人;国有法人;境外法人;国有法人;国有法人</t>
  </si>
  <si>
    <t>601618.SH</t>
  </si>
  <si>
    <t>中国中冶</t>
  </si>
  <si>
    <t>国有法人;其他;国有法人;国有法人;国有法人;其他;其他;其他;其他;其他</t>
  </si>
  <si>
    <t>601628.SH</t>
  </si>
  <si>
    <t>中国人寿</t>
  </si>
  <si>
    <t>国有法人;境外法人;国有法人;国有法人;其他;境外法人;其他;其他;其他;其他</t>
  </si>
  <si>
    <t>601633.SH</t>
  </si>
  <si>
    <t>长城汽车</t>
  </si>
  <si>
    <t>境内非国有法人;境外法人;国有法人;境外法人;其他;其他;其他;其他;其他;其他</t>
  </si>
  <si>
    <t>601658.SH</t>
  </si>
  <si>
    <t>邮储银行</t>
  </si>
  <si>
    <t>国有法人;境外法人;国家;国有法人;其他;国有法人;国有法人;国有法人;境外法人;其他</t>
  </si>
  <si>
    <t>601668.SH</t>
  </si>
  <si>
    <t>中国建筑</t>
  </si>
  <si>
    <t>601669.SH</t>
  </si>
  <si>
    <t>中国电建</t>
  </si>
  <si>
    <t>国有法人;其他;国有法人;其他;国有法人;其他;国有法人;其他;其他;其他</t>
  </si>
  <si>
    <t>601688.SH</t>
  </si>
  <si>
    <t>华泰证券</t>
  </si>
  <si>
    <t>国有法人;境外法人;国有法人;境外法人;国有法人;国有法人;未知;国有法人;未知;国有法人</t>
  </si>
  <si>
    <t>601689.SH</t>
  </si>
  <si>
    <t>拓普集团</t>
  </si>
  <si>
    <t>境外法人;未知;未知;未知;未知;未知;境外自然人;未知;未知;未知</t>
  </si>
  <si>
    <t>601698.SH</t>
  </si>
  <si>
    <t>中国卫通</t>
  </si>
  <si>
    <t>601728.SH</t>
  </si>
  <si>
    <t>中国电信</t>
  </si>
  <si>
    <t>国有法人;境外法人;国有法人;国有法人;未知;国有法人;国有法人;其他;国有法人;未知</t>
  </si>
  <si>
    <t>601766.SH</t>
  </si>
  <si>
    <t>中国中车</t>
  </si>
  <si>
    <t>国有法人;境外法人;国有法人;境外法人;国有法人;未知;未知;未知;未知;未知</t>
  </si>
  <si>
    <t>601788.SH</t>
  </si>
  <si>
    <t>光大证券</t>
  </si>
  <si>
    <t>国有法人;境外法人;未知;其他;其他;其他;其他;其他;其他;其他</t>
  </si>
  <si>
    <t>601800.SH</t>
  </si>
  <si>
    <t>中国交建</t>
  </si>
  <si>
    <t>国家;境外法人;国有法人;国有法人;未知;未知;未知;未知;其他;未知</t>
  </si>
  <si>
    <t>601808.SH</t>
  </si>
  <si>
    <t>中海油服</t>
  </si>
  <si>
    <t>国有法人;其他;国有法人;其他;其他;其他;其他;其他;其他;其他</t>
  </si>
  <si>
    <t>601816.SH</t>
  </si>
  <si>
    <t>京沪高铁</t>
  </si>
  <si>
    <t>国有法人;国有法人;国有法人;国有法人;国有法人;境内非国有法人;国有法人;国有法人;国有法人;境外法人</t>
  </si>
  <si>
    <t>601818.SH</t>
  </si>
  <si>
    <t>光大银行</t>
  </si>
  <si>
    <t>601825.SH</t>
  </si>
  <si>
    <t>沪农商行</t>
  </si>
  <si>
    <t>国有法人;国有法人;国有法人;国有法人;国有法人;国有法人;国有法人;国有法人;国有法人;境内非国有法人</t>
  </si>
  <si>
    <t>601838.SH</t>
  </si>
  <si>
    <t>成都银行</t>
  </si>
  <si>
    <t>601857.SH</t>
  </si>
  <si>
    <t>中国石油</t>
  </si>
  <si>
    <t>601868.SH</t>
  </si>
  <si>
    <t>中国能建</t>
  </si>
  <si>
    <t>601872.SH</t>
  </si>
  <si>
    <t>招商轮船</t>
  </si>
  <si>
    <t>国有法人;国家;国有法人;境外法人;其他;境内自然人;境内自然人;其他;其他;国有法人</t>
  </si>
  <si>
    <t>601877.SH</t>
  </si>
  <si>
    <t>正泰电器</t>
  </si>
  <si>
    <t>境内非国有法人;境内非国有法人;未知;境内自然人;未知;未知;未知;未知;未知;未知</t>
  </si>
  <si>
    <t>601878.SH</t>
  </si>
  <si>
    <t>浙商证券</t>
  </si>
  <si>
    <t>国有法人;国有法人;其他;境内非国有法人;境外法人;其他;其他;其他;其他;其他</t>
  </si>
  <si>
    <t>601881.SH</t>
  </si>
  <si>
    <t>中国银河</t>
  </si>
  <si>
    <t>国有法人;境外法人;境外法人;国有法人;其他;境内非国有法人;其他;其他;其他;其他</t>
  </si>
  <si>
    <t>601888.SH</t>
  </si>
  <si>
    <t>中国中免</t>
  </si>
  <si>
    <t>国有法人;境外法人;未知;境外法人;未知;未知;未知;未知;国有法人;未知</t>
  </si>
  <si>
    <t>601898.SH</t>
  </si>
  <si>
    <t>中煤能源</t>
  </si>
  <si>
    <t>国有法人;境外法人;国有法人;境外法人;其他;国有法人;国有法人;境外法人;其他;其他</t>
  </si>
  <si>
    <t>601899.SH</t>
  </si>
  <si>
    <t>紫金矿业</t>
  </si>
  <si>
    <t>国有法人;境外法人;境外法人;国有法人;其他;其他;其他;其他;其他;国有法人</t>
  </si>
  <si>
    <t>601901.SH</t>
  </si>
  <si>
    <t>方正证券</t>
  </si>
  <si>
    <t>境内非国有法人;国有法人;国有法人;未知;国有法人;国有法人;国有法人;未知;国有法人;其他</t>
  </si>
  <si>
    <t>601916.SH</t>
  </si>
  <si>
    <t>浙商银行</t>
  </si>
  <si>
    <t>其他;国有法人;境内非国有法人;国有法人;国有法人;国有法人;境内非国有法人;境内非国有法人;境内非国有法人;境内非国有法人</t>
  </si>
  <si>
    <t>601919.SH</t>
  </si>
  <si>
    <t>中远海控</t>
  </si>
  <si>
    <t>601939.SH</t>
  </si>
  <si>
    <t>建设银行</t>
  </si>
  <si>
    <t>国家;境外法人;国家;国有法人;国有法人;境外法人;国有法人;境外法人;国有法人;国有法人</t>
  </si>
  <si>
    <t>601985.SH</t>
  </si>
  <si>
    <t>中国核电</t>
  </si>
  <si>
    <t>国有法人;境内非国有法人;境内非国有法人;国有法人;境内非国有法人;境内非国有法人;境内非国有法人;其他;其他;其他</t>
  </si>
  <si>
    <t>601988.SH</t>
  </si>
  <si>
    <t>中国银行</t>
  </si>
  <si>
    <t>国家;境外法人;国家;国有法人;国有法人;境外法人;境外法人;其他;其他;其他</t>
  </si>
  <si>
    <t>601995.SH</t>
  </si>
  <si>
    <t>中金公司</t>
  </si>
  <si>
    <t>601998.SH</t>
  </si>
  <si>
    <t>中信银行</t>
  </si>
  <si>
    <t>国有法人;境外法人;国有法人;国有法人;其他;境外法人;国有法人;国有法人;其他;其他</t>
  </si>
  <si>
    <t>603019.SH</t>
  </si>
  <si>
    <t>中科曙光</t>
  </si>
  <si>
    <t>国有法人;境内自然人;国有法人;境内自然人;其他;其他;其他;境内自然人;其他;境内自然人</t>
  </si>
  <si>
    <t>603195.SH</t>
  </si>
  <si>
    <t>公牛集团</t>
  </si>
  <si>
    <t>603259.SH</t>
  </si>
  <si>
    <t>药明康德</t>
  </si>
  <si>
    <t>境外法人;境外法人;境外法人;境外法人;其他;境外法人;其他;其他;境外法人;其他</t>
  </si>
  <si>
    <t>603260.SH</t>
  </si>
  <si>
    <t>合盛硅业</t>
  </si>
  <si>
    <t>境内非国有法人;境内自然人;境内自然人;境内自然人;境外法人;境内自然人;境外法人;其他;其他;其他</t>
  </si>
  <si>
    <t>603288.SH</t>
  </si>
  <si>
    <t>海天味业</t>
  </si>
  <si>
    <t>境内非国有法人;境内自然人;境外法人;境内自然人;境外法人;境内自然人;境内自然人;国家;境内自然人;境内自然人</t>
  </si>
  <si>
    <t>603296.SH</t>
  </si>
  <si>
    <t>华勤技术</t>
  </si>
  <si>
    <t>境内非国有法人;境内非国有法人;境内非国有法人;境内自然人;境内非国有法人;境内非国有法人;境内非国有法人;境内非国有法人;境外法人;境内自然人</t>
  </si>
  <si>
    <t>603369.SH</t>
  </si>
  <si>
    <t>今世缘</t>
  </si>
  <si>
    <t>603392.SH</t>
  </si>
  <si>
    <t>万泰生物</t>
  </si>
  <si>
    <t>境内非国有法人;境内自然人;境内自然人;境内自然人;其他;境内自然人;境内自然人;境内自然人;其他;其他</t>
  </si>
  <si>
    <t>603501.SH</t>
  </si>
  <si>
    <t>豪威集团</t>
  </si>
  <si>
    <t>其他</t>
  </si>
  <si>
    <t>603799.SH</t>
  </si>
  <si>
    <t>华友钴业</t>
  </si>
  <si>
    <t>603893.SH</t>
  </si>
  <si>
    <t>瑞芯微</t>
  </si>
  <si>
    <t>境内自然人;境内自然人;境内非国有法人;境外法人;境内非国有法人;其他;境内非国有法人;其他;其他;境内非国有法人</t>
  </si>
  <si>
    <t>603986.SH</t>
  </si>
  <si>
    <t>兆易创新</t>
  </si>
  <si>
    <t>境内自然人;境外法人;境外自然人;境外法人;其他;其他;其他;其他;境外法人;其他</t>
  </si>
  <si>
    <t>603993.SH</t>
  </si>
  <si>
    <t>洛阳钼业</t>
  </si>
  <si>
    <t>境内非国有法人;境内非国有法人;境外法人;境外法人;未知;未知;未知;未知;未知;未知</t>
  </si>
  <si>
    <t>605117.SH</t>
  </si>
  <si>
    <t>德业股份</t>
  </si>
  <si>
    <t>境内非国有法人;境内自然人;未知;其他;境内自然人;未知;未知;其他;未知;未知</t>
  </si>
  <si>
    <t>605499.SH</t>
  </si>
  <si>
    <t>东鹏饮料</t>
  </si>
  <si>
    <t>境内自然人;境内非国有法人;境内自然人;境内自然人;境内非国有法人;境内自然人;境内自然人;境内非国有法人;境内自然人;境内非国有法人</t>
  </si>
  <si>
    <t>688008.SH</t>
  </si>
  <si>
    <t>澜起科技</t>
  </si>
  <si>
    <t>688009.SH</t>
  </si>
  <si>
    <t>中国通号</t>
  </si>
  <si>
    <t>国有法人;境外法人;其他;其他;其他;国有法人;其他;国有法人;其他;其他</t>
  </si>
  <si>
    <t>688012.SH</t>
  </si>
  <si>
    <t>中微公司</t>
  </si>
  <si>
    <t>688036.SH</t>
  </si>
  <si>
    <t>传音控股</t>
  </si>
  <si>
    <t>境内非国有法人;其他;其他;境外法人;其他;其他;其他;其他;其他;其他</t>
  </si>
  <si>
    <t>688041.SH</t>
  </si>
  <si>
    <t>海光信息</t>
  </si>
  <si>
    <t>国有法人;境内非国有法人;国有法人;境内非国有法人;国有法人;国有法人;境内自然人;其他;其他;其他</t>
  </si>
  <si>
    <t>688047.SH</t>
  </si>
  <si>
    <t>龙芯中科</t>
  </si>
  <si>
    <t>境内非国有法人;国有法人;其他;国有法人;其他;其他;其他;其他;其他;其他</t>
  </si>
  <si>
    <t>688082.SH</t>
  </si>
  <si>
    <t>盛美上海</t>
  </si>
  <si>
    <t>境外法人;国有法人;其他;其他;其他;其他;其他;其他;其他;其他</t>
  </si>
  <si>
    <t>688111.SH</t>
  </si>
  <si>
    <t>金山办公</t>
  </si>
  <si>
    <t>境外法人;其他;境外法人;其他;其他;其他;其他;其他;其他;其他</t>
  </si>
  <si>
    <t>688126.SH</t>
  </si>
  <si>
    <t>沪硅产业</t>
  </si>
  <si>
    <t>688169.SH</t>
  </si>
  <si>
    <t>石头科技</t>
  </si>
  <si>
    <t>境内自然人;其他;境内自然人;其他;其他;境内非国有法人;其他;其他;其他;境内自然人</t>
  </si>
  <si>
    <t>688187.SH</t>
  </si>
  <si>
    <t>时代电气</t>
  </si>
  <si>
    <t>国有法人;境外法人;境外法人;国有法人;国有法人;未知;未知;未知;未知;未知</t>
  </si>
  <si>
    <t>688223.SH</t>
  </si>
  <si>
    <t>晶科能源</t>
  </si>
  <si>
    <t>境外法人;境外法人;其他;其他;其他;其他;其他;其他;其他;其他</t>
  </si>
  <si>
    <t>688256.SH</t>
  </si>
  <si>
    <t>寒武纪-U</t>
  </si>
  <si>
    <t>688271.SH</t>
  </si>
  <si>
    <t>联影医疗</t>
  </si>
  <si>
    <t>境内非国有法人;国有法人;其他;境内非国有法人;其他;境内自然人;未知;未知;未知;其他</t>
  </si>
  <si>
    <t>688303.SH</t>
  </si>
  <si>
    <t>大全能源</t>
  </si>
  <si>
    <t>境外法人;其他;其他;其他;境外法人;境内非国有法人;境内自然人;境内自然人;境内自然人;其他</t>
  </si>
  <si>
    <t>688396.SH</t>
  </si>
  <si>
    <t>华润微</t>
  </si>
  <si>
    <t>国有法人;国有法人;境内自然人;其他;其他;未知;境内自然人;境内非国有法人;其他;其他</t>
  </si>
  <si>
    <t>688472.SH</t>
  </si>
  <si>
    <t>阿特斯</t>
  </si>
  <si>
    <t>其他;境内非国有法人;其他;其他;其他;其他;其他;其他;其他;其他</t>
  </si>
  <si>
    <t>688506.SH</t>
  </si>
  <si>
    <t>百利天恒</t>
  </si>
  <si>
    <t>境内自然人;境外法人;境内自然人;其他;其他;其他;其他;其他;其他;其他</t>
  </si>
  <si>
    <t>688981.SH</t>
  </si>
  <si>
    <t>中芯国际</t>
  </si>
  <si>
    <t>未知;境外法人;其他;国有法人;其他;其他;其他;其他;其他;其他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</si>
</sst>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  <numFmt numFmtId="177" formatCode="###,###,###,##0.0000"/>
    <numFmt numFmtId="178" formatCode="yyyy\-mm\-dd"/>
    <numFmt numFmtId="179" formatCode="0_ "/>
    <numFmt numFmtId="180" formatCode="0.0000_ "/>
    <numFmt numFmtId="181" formatCode="[$-409]yyyy\-mm\-dd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4">
    <xf numFmtId="0" fontId="0" fillId="0" borderId="0" xfId="0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top"/>
    </xf>
    <xf numFmtId="179" fontId="1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180" fontId="1" fillId="0" borderId="1" xfId="0" applyNumberFormat="1" applyFont="1" applyFill="1" applyBorder="1" applyAlignment="1">
      <alignment vertical="top"/>
    </xf>
    <xf numFmtId="181" fontId="1" fillId="0" borderId="1" xfId="0" applyNumberFormat="1" applyFont="1" applyFill="1" applyBorder="1" applyAlignment="1">
      <alignment vertical="top"/>
    </xf>
    <xf numFmtId="177" fontId="1" fillId="0" borderId="1" xfId="0" applyNumberFormat="1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01"/>
  <sheetViews>
    <sheetView tabSelected="1" topLeftCell="A293" workbookViewId="0">
      <selection activeCell="M313" sqref="M313"/>
    </sheetView>
  </sheetViews>
  <sheetFormatPr defaultColWidth="9" defaultRowHeight="14.1"/>
  <sheetData>
    <row r="1" ht="84.6" spans="1:5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5" t="s">
        <v>14</v>
      </c>
      <c r="P1" s="5" t="s">
        <v>15</v>
      </c>
      <c r="Q1" s="5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</row>
    <row r="2" spans="1:55">
      <c r="A2" s="8" t="s">
        <v>55</v>
      </c>
      <c r="B2" s="8" t="s">
        <v>56</v>
      </c>
      <c r="C2" s="8" t="s">
        <v>57</v>
      </c>
      <c r="D2" s="9">
        <v>40761</v>
      </c>
      <c r="E2" s="8" t="s">
        <v>58</v>
      </c>
      <c r="F2" s="8" t="s">
        <v>59</v>
      </c>
      <c r="G2" s="10">
        <v>5766764000000</v>
      </c>
      <c r="H2" s="10">
        <v>0</v>
      </c>
      <c r="I2" s="9">
        <v>8160481215</v>
      </c>
      <c r="J2" s="9">
        <v>19405918198</v>
      </c>
      <c r="K2" s="11">
        <v>99.9984</v>
      </c>
      <c r="L2" s="12">
        <v>33331</v>
      </c>
      <c r="M2" s="12">
        <v>32133</v>
      </c>
      <c r="N2" s="9">
        <f t="shared" ref="N2:N65" si="0">L2-M2</f>
        <v>1198</v>
      </c>
      <c r="O2" s="13">
        <v>49.56</v>
      </c>
      <c r="P2" s="13">
        <v>6.11</v>
      </c>
      <c r="Q2" s="13">
        <v>3.65</v>
      </c>
      <c r="R2" s="8" t="s">
        <v>60</v>
      </c>
      <c r="S2" s="13">
        <v>453515</v>
      </c>
      <c r="T2" s="13">
        <v>0.362</v>
      </c>
      <c r="U2" s="13">
        <v>10.7768</v>
      </c>
      <c r="V2" s="13">
        <f t="shared" ref="V2:V65" si="1">T2/U2</f>
        <v>0.0335906762675377</v>
      </c>
      <c r="W2" s="13">
        <v>2.15</v>
      </c>
      <c r="X2" s="13">
        <f t="shared" ref="X2:X65" si="2">T2/W2</f>
        <v>0.168372093023256</v>
      </c>
      <c r="Y2" s="13">
        <v>0.092038</v>
      </c>
      <c r="Z2" s="13">
        <v>0.303405</v>
      </c>
      <c r="AA2" s="13">
        <v>0.0258</v>
      </c>
      <c r="AB2" s="13">
        <v>11.7419</v>
      </c>
      <c r="AC2" s="13">
        <v>0.4318</v>
      </c>
      <c r="AD2" s="13"/>
      <c r="AE2" s="13">
        <v>-0.109315</v>
      </c>
      <c r="AF2" s="13">
        <v>0.285</v>
      </c>
      <c r="AG2" s="13">
        <v>13.907345023527</v>
      </c>
      <c r="AH2" s="13">
        <f t="shared" ref="AH2:AH65" si="3">AF2/AG2</f>
        <v>0.0204927683549856</v>
      </c>
      <c r="AI2" s="13">
        <v>2.2</v>
      </c>
      <c r="AJ2" s="13">
        <f t="shared" ref="AJ2:AJ65" si="4">AF2/AI2</f>
        <v>0.129545454545455</v>
      </c>
      <c r="AK2" s="13">
        <v>0.10966</v>
      </c>
      <c r="AL2" s="13">
        <v>0.253014</v>
      </c>
      <c r="AM2" s="13">
        <v>0.0351</v>
      </c>
      <c r="AN2" s="13">
        <v>12.3389</v>
      </c>
      <c r="AO2" s="13">
        <v>0.7480585897329</v>
      </c>
      <c r="AP2" s="13"/>
      <c r="AQ2" s="13">
        <v>0.062061</v>
      </c>
      <c r="AR2" s="13">
        <v>0.719</v>
      </c>
      <c r="AS2" s="13">
        <v>12.0930826018949</v>
      </c>
      <c r="AT2" s="13">
        <f t="shared" ref="AT2:AT65" si="5">AR2/AS2</f>
        <v>0.0594554774551311</v>
      </c>
      <c r="AU2" s="13">
        <v>2.25</v>
      </c>
      <c r="AV2" s="13">
        <f t="shared" ref="AV2:AV65" si="6">AR2/AU2</f>
        <v>0.319555555555556</v>
      </c>
      <c r="AW2" s="13">
        <v>0.102436</v>
      </c>
      <c r="AX2" s="13">
        <v>0.28206</v>
      </c>
      <c r="AY2" s="13">
        <v>0.0302</v>
      </c>
      <c r="AZ2" s="13">
        <v>12.027</v>
      </c>
      <c r="BA2" s="13">
        <v>0.561393815384429</v>
      </c>
      <c r="BB2" s="13"/>
      <c r="BC2" s="13">
        <v>-0.084471</v>
      </c>
    </row>
    <row r="3" spans="1:55">
      <c r="A3" s="8" t="s">
        <v>61</v>
      </c>
      <c r="B3" s="8" t="s">
        <v>62</v>
      </c>
      <c r="C3" s="8" t="s">
        <v>57</v>
      </c>
      <c r="D3" s="9">
        <v>127638</v>
      </c>
      <c r="E3" s="8" t="s">
        <v>58</v>
      </c>
      <c r="F3" s="8" t="s">
        <v>63</v>
      </c>
      <c r="G3" s="10">
        <v>1136594565755.29</v>
      </c>
      <c r="H3" s="10">
        <v>2</v>
      </c>
      <c r="I3" s="9">
        <v>6473588838</v>
      </c>
      <c r="J3" s="9">
        <v>11930709471</v>
      </c>
      <c r="K3" s="11">
        <v>81.4403</v>
      </c>
      <c r="L3" s="12">
        <v>33267</v>
      </c>
      <c r="M3" s="12">
        <v>30832</v>
      </c>
      <c r="N3" s="9">
        <f t="shared" si="0"/>
        <v>2435</v>
      </c>
      <c r="O3" s="13">
        <v>27.18</v>
      </c>
      <c r="P3" s="13">
        <v>18.49</v>
      </c>
      <c r="Q3" s="13">
        <v>1.55</v>
      </c>
      <c r="R3" s="8" t="s">
        <v>64</v>
      </c>
      <c r="S3" s="13">
        <v>493108</v>
      </c>
      <c r="T3" s="13"/>
      <c r="U3" s="13">
        <v>8.3291</v>
      </c>
      <c r="V3" s="13">
        <f t="shared" si="1"/>
        <v>0</v>
      </c>
      <c r="W3" s="13">
        <v>-4.17</v>
      </c>
      <c r="X3" s="13">
        <f t="shared" si="2"/>
        <v>0</v>
      </c>
      <c r="Y3" s="13">
        <v>-0.21823</v>
      </c>
      <c r="Z3" s="13">
        <v>-0.141921</v>
      </c>
      <c r="AA3" s="13">
        <v>0.2459</v>
      </c>
      <c r="AB3" s="13">
        <v>6.1553</v>
      </c>
      <c r="AC3" s="13">
        <v>0.0111</v>
      </c>
      <c r="AD3" s="13">
        <v>0.1229</v>
      </c>
      <c r="AE3" s="13">
        <v>-0.263157</v>
      </c>
      <c r="AF3" s="13">
        <v>0.68</v>
      </c>
      <c r="AG3" s="13">
        <v>18.3827430017459</v>
      </c>
      <c r="AH3" s="13">
        <f t="shared" si="3"/>
        <v>0.0369912150724958</v>
      </c>
      <c r="AI3" s="13">
        <v>1.95</v>
      </c>
      <c r="AJ3" s="13">
        <f t="shared" si="4"/>
        <v>0.348717948717949</v>
      </c>
      <c r="AK3" s="13">
        <v>0.094508</v>
      </c>
      <c r="AL3" s="13">
        <v>0.07453</v>
      </c>
      <c r="AM3" s="13">
        <v>0.2727</v>
      </c>
      <c r="AN3" s="13">
        <v>7.7213</v>
      </c>
      <c r="AO3" s="13">
        <v>0.0054589917255776</v>
      </c>
      <c r="AP3" s="13">
        <v>0.127326154898648</v>
      </c>
      <c r="AQ3" s="13">
        <v>0.112723</v>
      </c>
      <c r="AR3" s="13"/>
      <c r="AS3" s="13">
        <v>14.4296872166676</v>
      </c>
      <c r="AT3" s="13">
        <f t="shared" si="5"/>
        <v>0</v>
      </c>
      <c r="AU3" s="13">
        <v>1.03</v>
      </c>
      <c r="AV3" s="13">
        <f t="shared" si="6"/>
        <v>0</v>
      </c>
      <c r="AW3" s="13">
        <v>0.049294</v>
      </c>
      <c r="AX3" s="13">
        <v>0.043921</v>
      </c>
      <c r="AY3" s="13">
        <v>0.2856</v>
      </c>
      <c r="AZ3" s="13">
        <v>6.6102</v>
      </c>
      <c r="BA3" s="13">
        <v>0.00840024837042253</v>
      </c>
      <c r="BB3" s="13">
        <v>0.121485497675157</v>
      </c>
      <c r="BC3" s="13">
        <v>-0.075618</v>
      </c>
    </row>
    <row r="4" spans="1:55">
      <c r="A4" s="8" t="s">
        <v>65</v>
      </c>
      <c r="B4" s="8" t="s">
        <v>66</v>
      </c>
      <c r="C4" s="8" t="s">
        <v>57</v>
      </c>
      <c r="D4" s="9">
        <v>66790</v>
      </c>
      <c r="E4" s="8" t="s">
        <v>58</v>
      </c>
      <c r="F4" s="8" t="s">
        <v>67</v>
      </c>
      <c r="G4" s="10">
        <v>214657778000</v>
      </c>
      <c r="H4" s="10">
        <v>1</v>
      </c>
      <c r="I4" s="9">
        <v>3068680832</v>
      </c>
      <c r="J4" s="9">
        <v>4783534887</v>
      </c>
      <c r="K4" s="11">
        <v>84.1976</v>
      </c>
      <c r="L4" s="12">
        <v>35752</v>
      </c>
      <c r="M4" s="12">
        <v>35745</v>
      </c>
      <c r="N4" s="9">
        <f t="shared" si="0"/>
        <v>7</v>
      </c>
      <c r="O4" s="13">
        <v>20.09</v>
      </c>
      <c r="P4" s="13">
        <v>15.73</v>
      </c>
      <c r="Q4" s="13">
        <v>1.44</v>
      </c>
      <c r="R4" s="8"/>
      <c r="S4" s="13">
        <v>567823</v>
      </c>
      <c r="T4" s="13">
        <v>0.617</v>
      </c>
      <c r="U4" s="13">
        <v>29.872</v>
      </c>
      <c r="V4" s="13">
        <f t="shared" si="1"/>
        <v>0.0206547937868238</v>
      </c>
      <c r="W4" s="13">
        <v>1.76</v>
      </c>
      <c r="X4" s="13">
        <f t="shared" si="2"/>
        <v>0.350568181818182</v>
      </c>
      <c r="Y4" s="13">
        <v>0.119656</v>
      </c>
      <c r="Z4" s="13">
        <v>0.068885</v>
      </c>
      <c r="AA4" s="13">
        <v>0.5942</v>
      </c>
      <c r="AB4" s="13">
        <v>2.8994</v>
      </c>
      <c r="AC4" s="13">
        <v>0.0946</v>
      </c>
      <c r="AD4" s="13">
        <v>0.6977</v>
      </c>
      <c r="AE4" s="13">
        <v>-0.023759</v>
      </c>
      <c r="AF4" s="13">
        <v>0.4</v>
      </c>
      <c r="AG4" s="13">
        <v>25.5133185151414</v>
      </c>
      <c r="AH4" s="13">
        <f t="shared" si="3"/>
        <v>0.0156780859284382</v>
      </c>
      <c r="AI4" s="13">
        <v>1.71</v>
      </c>
      <c r="AJ4" s="13">
        <f t="shared" si="4"/>
        <v>0.233918128654971</v>
      </c>
      <c r="AK4" s="13">
        <v>0.14675</v>
      </c>
      <c r="AL4" s="13">
        <v>0.06337</v>
      </c>
      <c r="AM4" s="13">
        <v>0.7032</v>
      </c>
      <c r="AN4" s="13">
        <v>3.1757</v>
      </c>
      <c r="AO4" s="13">
        <v>0.0616301563071934</v>
      </c>
      <c r="AP4" s="13">
        <v>0.725039701109999</v>
      </c>
      <c r="AQ4" s="13">
        <v>0.073635</v>
      </c>
      <c r="AR4" s="13">
        <v>0.683</v>
      </c>
      <c r="AS4" s="13">
        <v>33.4104390590842</v>
      </c>
      <c r="AT4" s="13">
        <f t="shared" si="5"/>
        <v>0.0204427124945039</v>
      </c>
      <c r="AU4" s="13">
        <v>1.96</v>
      </c>
      <c r="AV4" s="13">
        <f t="shared" si="6"/>
        <v>0.348469387755102</v>
      </c>
      <c r="AW4" s="13">
        <v>0.147269</v>
      </c>
      <c r="AX4" s="13">
        <v>0.074373</v>
      </c>
      <c r="AY4" s="13">
        <v>0.6507</v>
      </c>
      <c r="AZ4" s="13">
        <v>3.0155</v>
      </c>
      <c r="BA4" s="13">
        <v>0.140085118754654</v>
      </c>
      <c r="BB4" s="13">
        <v>0.947803343483269</v>
      </c>
      <c r="BC4" s="13">
        <v>0.010544</v>
      </c>
    </row>
    <row r="5" spans="1:55">
      <c r="A5" s="8" t="s">
        <v>68</v>
      </c>
      <c r="B5" s="8" t="s">
        <v>69</v>
      </c>
      <c r="C5" s="8" t="s">
        <v>57</v>
      </c>
      <c r="D5" s="9">
        <v>71067</v>
      </c>
      <c r="E5" s="8" t="s">
        <v>58</v>
      </c>
      <c r="F5" s="8" t="s">
        <v>67</v>
      </c>
      <c r="G5" s="10">
        <v>381651399603</v>
      </c>
      <c r="H5" s="10">
        <v>2</v>
      </c>
      <c r="I5" s="9">
        <v>17504904643</v>
      </c>
      <c r="J5" s="9">
        <v>20800862447</v>
      </c>
      <c r="K5" s="11">
        <v>87</v>
      </c>
      <c r="L5" s="12">
        <v>38016</v>
      </c>
      <c r="M5" s="12">
        <v>30021</v>
      </c>
      <c r="N5" s="9">
        <f t="shared" si="0"/>
        <v>7995</v>
      </c>
      <c r="O5" s="13">
        <v>6.09</v>
      </c>
      <c r="P5" s="13">
        <v>4.74</v>
      </c>
      <c r="Q5" s="13">
        <v>4.54</v>
      </c>
      <c r="R5" s="8" t="s">
        <v>70</v>
      </c>
      <c r="S5" s="13">
        <v>671098</v>
      </c>
      <c r="T5" s="13">
        <v>0.05</v>
      </c>
      <c r="U5" s="13">
        <v>4.6729</v>
      </c>
      <c r="V5" s="13">
        <f t="shared" si="1"/>
        <v>0.0106999935800039</v>
      </c>
      <c r="W5" s="13">
        <v>0.0842</v>
      </c>
      <c r="X5" s="13">
        <f t="shared" si="2"/>
        <v>0.593824228028504</v>
      </c>
      <c r="Y5" s="13">
        <v>0.029487</v>
      </c>
      <c r="Z5" s="13">
        <v>-0.025194</v>
      </c>
      <c r="AA5" s="13">
        <v>0.4335</v>
      </c>
      <c r="AB5" s="13">
        <v>7.1742</v>
      </c>
      <c r="AC5" s="13">
        <v>0.1791</v>
      </c>
      <c r="AD5" s="13">
        <v>0.358</v>
      </c>
      <c r="AE5" s="13">
        <v>-0.054363</v>
      </c>
      <c r="AF5" s="13">
        <v>0</v>
      </c>
      <c r="AG5" s="13">
        <v>4.57758206831213</v>
      </c>
      <c r="AH5" s="13">
        <f t="shared" si="3"/>
        <v>0</v>
      </c>
      <c r="AI5" s="13">
        <v>0.0191</v>
      </c>
      <c r="AJ5" s="13">
        <f t="shared" si="4"/>
        <v>0</v>
      </c>
      <c r="AK5" s="13">
        <v>0.005577</v>
      </c>
      <c r="AL5" s="13">
        <v>0.010731</v>
      </c>
      <c r="AM5" s="13">
        <v>0.4984</v>
      </c>
      <c r="AN5" s="13">
        <v>7.1359</v>
      </c>
      <c r="AO5" s="13">
        <v>0.110581160012186</v>
      </c>
      <c r="AP5" s="13">
        <v>0.555111689554539</v>
      </c>
      <c r="AQ5" s="13">
        <v>0.017242</v>
      </c>
      <c r="AR5" s="13">
        <v>0.08</v>
      </c>
      <c r="AS5" s="13">
        <v>4.11169229444807</v>
      </c>
      <c r="AT5" s="13">
        <f t="shared" si="5"/>
        <v>0.0194567088855414</v>
      </c>
      <c r="AU5" s="13">
        <v>0.1195</v>
      </c>
      <c r="AV5" s="13">
        <f t="shared" si="6"/>
        <v>0.669456066945607</v>
      </c>
      <c r="AW5" s="13">
        <v>0.042759</v>
      </c>
      <c r="AX5" s="13">
        <v>0.027405</v>
      </c>
      <c r="AY5" s="13">
        <v>0.4697</v>
      </c>
      <c r="AZ5" s="13">
        <v>7.1704</v>
      </c>
      <c r="BA5" s="13">
        <v>0.145114998568154</v>
      </c>
      <c r="BB5" s="13">
        <v>0.460808378327555</v>
      </c>
      <c r="BC5" s="13">
        <v>0.046894</v>
      </c>
    </row>
    <row r="6" spans="1:55">
      <c r="A6" s="8" t="s">
        <v>71</v>
      </c>
      <c r="B6" s="8" t="s">
        <v>72</v>
      </c>
      <c r="C6" s="8" t="s">
        <v>57</v>
      </c>
      <c r="D6" s="9">
        <v>31783</v>
      </c>
      <c r="E6" s="8" t="s">
        <v>73</v>
      </c>
      <c r="F6" s="8" t="s">
        <v>67</v>
      </c>
      <c r="G6" s="10">
        <v>131105845143.43</v>
      </c>
      <c r="H6" s="10">
        <v>4</v>
      </c>
      <c r="I6" s="9">
        <v>4707921672</v>
      </c>
      <c r="J6" s="9">
        <v>8648535236</v>
      </c>
      <c r="K6" s="11">
        <v>81.7528</v>
      </c>
      <c r="L6" s="12">
        <v>36811</v>
      </c>
      <c r="M6" s="12">
        <v>36403</v>
      </c>
      <c r="N6" s="9">
        <f t="shared" si="0"/>
        <v>408</v>
      </c>
      <c r="O6" s="13">
        <v>17.91</v>
      </c>
      <c r="P6" s="13">
        <v>14.53</v>
      </c>
      <c r="Q6" s="13">
        <v>7.89</v>
      </c>
      <c r="R6" s="8" t="s">
        <v>74</v>
      </c>
      <c r="S6" s="13">
        <v>236356</v>
      </c>
      <c r="T6" s="13">
        <v>0.3</v>
      </c>
      <c r="U6" s="13">
        <v>7.4542</v>
      </c>
      <c r="V6" s="13">
        <f t="shared" si="1"/>
        <v>0.040245767486786</v>
      </c>
      <c r="W6" s="13">
        <v>0.41</v>
      </c>
      <c r="X6" s="13">
        <f t="shared" si="2"/>
        <v>0.731707317073171</v>
      </c>
      <c r="Y6" s="13">
        <v>0.062009</v>
      </c>
      <c r="Z6" s="13">
        <v>0.088148</v>
      </c>
      <c r="AA6" s="13">
        <v>0.3572</v>
      </c>
      <c r="AB6" s="13">
        <v>2.2424</v>
      </c>
      <c r="AC6" s="13">
        <v>0.0471</v>
      </c>
      <c r="AD6" s="13">
        <v>0.3591</v>
      </c>
      <c r="AE6" s="13">
        <v>-0.033918</v>
      </c>
      <c r="AF6" s="13">
        <v>0.32</v>
      </c>
      <c r="AG6" s="13">
        <v>6.42716849399419</v>
      </c>
      <c r="AH6" s="13">
        <f t="shared" si="3"/>
        <v>0.0497886433658961</v>
      </c>
      <c r="AI6" s="13">
        <v>0.27</v>
      </c>
      <c r="AJ6" s="13">
        <f t="shared" si="4"/>
        <v>1.18518518518519</v>
      </c>
      <c r="AK6" s="13">
        <v>0.041324</v>
      </c>
      <c r="AL6" s="13">
        <v>0.05728</v>
      </c>
      <c r="AM6" s="13">
        <v>0.3391</v>
      </c>
      <c r="AN6" s="13">
        <v>2.2003</v>
      </c>
      <c r="AO6" s="13">
        <v>0.0582403325492754</v>
      </c>
      <c r="AP6" s="13">
        <v>0.409082328820349</v>
      </c>
      <c r="AQ6" s="13">
        <v>-0.379843</v>
      </c>
      <c r="AR6" s="13">
        <v>0.32</v>
      </c>
      <c r="AS6" s="13">
        <v>6.51041988084318</v>
      </c>
      <c r="AT6" s="13">
        <f t="shared" si="5"/>
        <v>0.0491519757337918</v>
      </c>
      <c r="AU6" s="13">
        <v>0.43</v>
      </c>
      <c r="AV6" s="13">
        <f t="shared" si="6"/>
        <v>0.744186046511628</v>
      </c>
      <c r="AW6" s="13">
        <v>0.063087</v>
      </c>
      <c r="AX6" s="13">
        <v>0.080105</v>
      </c>
      <c r="AY6" s="13">
        <v>0.3701</v>
      </c>
      <c r="AZ6" s="13">
        <v>2.289</v>
      </c>
      <c r="BA6" s="13">
        <v>0.0576220968179278</v>
      </c>
      <c r="BB6" s="13">
        <v>0.354441718557465</v>
      </c>
      <c r="BC6" s="13">
        <v>0.130751</v>
      </c>
    </row>
    <row r="7" spans="1:55">
      <c r="A7" s="8" t="s">
        <v>75</v>
      </c>
      <c r="B7" s="8" t="s">
        <v>76</v>
      </c>
      <c r="C7" s="8" t="s">
        <v>77</v>
      </c>
      <c r="D7" s="9">
        <v>11552</v>
      </c>
      <c r="E7" s="8" t="s">
        <v>78</v>
      </c>
      <c r="F7" s="8" t="s">
        <v>59</v>
      </c>
      <c r="G7" s="10">
        <v>721973133145.76</v>
      </c>
      <c r="H7" s="10">
        <v>6</v>
      </c>
      <c r="I7" s="9">
        <v>8071568027</v>
      </c>
      <c r="J7" s="9">
        <v>25039944560</v>
      </c>
      <c r="K7" s="11">
        <v>89.9982</v>
      </c>
      <c r="L7" s="12">
        <v>42030</v>
      </c>
      <c r="M7" s="12">
        <v>35324</v>
      </c>
      <c r="N7" s="9">
        <f t="shared" si="0"/>
        <v>6706</v>
      </c>
      <c r="O7" s="13">
        <v>26.34</v>
      </c>
      <c r="P7" s="13">
        <v>20.05</v>
      </c>
      <c r="Q7" s="13">
        <v>10</v>
      </c>
      <c r="R7" s="8" t="s">
        <v>79</v>
      </c>
      <c r="S7" s="13">
        <v>219220</v>
      </c>
      <c r="T7" s="13">
        <v>0.046</v>
      </c>
      <c r="U7" s="13">
        <v>4.9576</v>
      </c>
      <c r="V7" s="13">
        <f t="shared" si="1"/>
        <v>0.00927868323382282</v>
      </c>
      <c r="W7" s="13">
        <v>0.21</v>
      </c>
      <c r="X7" s="13">
        <f t="shared" si="2"/>
        <v>0.219047619047619</v>
      </c>
      <c r="Y7" s="13">
        <v>0.050853</v>
      </c>
      <c r="Z7" s="13">
        <v>0.252699</v>
      </c>
      <c r="AA7" s="13">
        <v>0.0371</v>
      </c>
      <c r="AB7" s="13">
        <v>6.5049</v>
      </c>
      <c r="AC7" s="13">
        <v>1.068</v>
      </c>
      <c r="AD7" s="13"/>
      <c r="AE7" s="13">
        <v>0.150431</v>
      </c>
      <c r="AF7" s="13">
        <v>0.03</v>
      </c>
      <c r="AG7" s="13">
        <v>4.28943011163631</v>
      </c>
      <c r="AH7" s="13">
        <f t="shared" si="3"/>
        <v>0.00699393607524141</v>
      </c>
      <c r="AI7" s="13">
        <v>0.11</v>
      </c>
      <c r="AJ7" s="13">
        <f t="shared" si="4"/>
        <v>0.272727272727273</v>
      </c>
      <c r="AK7" s="13">
        <v>0.029317</v>
      </c>
      <c r="AL7" s="13">
        <v>0.152334</v>
      </c>
      <c r="AM7" s="13">
        <v>0.0339</v>
      </c>
      <c r="AN7" s="13">
        <v>6.3812</v>
      </c>
      <c r="AO7" s="13">
        <v>1.80406418223661</v>
      </c>
      <c r="AP7" s="13"/>
      <c r="AQ7" s="13">
        <v>-0.399266</v>
      </c>
      <c r="AR7" s="13">
        <v>0.056</v>
      </c>
      <c r="AS7" s="13">
        <v>4.55566919968396</v>
      </c>
      <c r="AT7" s="13">
        <f t="shared" si="5"/>
        <v>0.012292376277866</v>
      </c>
      <c r="AU7" s="13">
        <v>0.18</v>
      </c>
      <c r="AV7" s="13">
        <f t="shared" si="6"/>
        <v>0.311111111111111</v>
      </c>
      <c r="AW7" s="13">
        <v>0.047199</v>
      </c>
      <c r="AX7" s="13">
        <v>0.254653</v>
      </c>
      <c r="AY7" s="13">
        <v>0.0344</v>
      </c>
      <c r="AZ7" s="13">
        <v>6.3966</v>
      </c>
      <c r="BA7" s="13">
        <v>3.2207033861845</v>
      </c>
      <c r="BB7" s="13"/>
      <c r="BC7" s="13">
        <v>0.043233</v>
      </c>
    </row>
    <row r="8" spans="1:55">
      <c r="A8" s="8" t="s">
        <v>80</v>
      </c>
      <c r="B8" s="8" t="s">
        <v>81</v>
      </c>
      <c r="C8" s="8" t="s">
        <v>82</v>
      </c>
      <c r="D8" s="9">
        <v>29526</v>
      </c>
      <c r="E8" s="8" t="s">
        <v>83</v>
      </c>
      <c r="F8" s="8" t="s">
        <v>67</v>
      </c>
      <c r="G8" s="10">
        <v>212802706854.96</v>
      </c>
      <c r="H8" s="10">
        <v>3</v>
      </c>
      <c r="I8" s="9">
        <v>2168473607</v>
      </c>
      <c r="J8" s="9">
        <v>6611230317</v>
      </c>
      <c r="K8" s="11">
        <v>99.9595</v>
      </c>
      <c r="L8" s="12">
        <v>36675</v>
      </c>
      <c r="M8" s="12">
        <v>35992</v>
      </c>
      <c r="N8" s="9">
        <f t="shared" si="0"/>
        <v>683</v>
      </c>
      <c r="O8" s="13">
        <v>43.2369</v>
      </c>
      <c r="P8" s="13">
        <v>16.9211</v>
      </c>
      <c r="Q8" s="13">
        <v>7.0017</v>
      </c>
      <c r="R8" s="8"/>
      <c r="S8" s="13">
        <v>73343</v>
      </c>
      <c r="T8" s="13"/>
      <c r="U8" s="13">
        <v>9.2044</v>
      </c>
      <c r="V8" s="13">
        <f t="shared" si="1"/>
        <v>0</v>
      </c>
      <c r="W8" s="13">
        <v>-0.35</v>
      </c>
      <c r="X8" s="13">
        <f t="shared" si="2"/>
        <v>0</v>
      </c>
      <c r="Y8" s="13">
        <v>-0.06611</v>
      </c>
      <c r="Z8" s="13">
        <v>-0.016589</v>
      </c>
      <c r="AA8" s="13">
        <v>0.6979</v>
      </c>
      <c r="AB8" s="13">
        <v>5.6779</v>
      </c>
      <c r="AC8" s="13">
        <v>0.0761</v>
      </c>
      <c r="AD8" s="13">
        <v>0.1503</v>
      </c>
      <c r="AE8" s="13">
        <v>-0.019689</v>
      </c>
      <c r="AF8" s="13">
        <v>0.1</v>
      </c>
      <c r="AG8" s="13">
        <v>16.8754916844173</v>
      </c>
      <c r="AH8" s="13">
        <f t="shared" si="3"/>
        <v>0.00592575326811599</v>
      </c>
      <c r="AI8" s="13">
        <v>0.09</v>
      </c>
      <c r="AJ8" s="13">
        <f t="shared" si="4"/>
        <v>1.11111111111111</v>
      </c>
      <c r="AK8" s="13">
        <v>0.017315</v>
      </c>
      <c r="AL8" s="13">
        <v>0.008503</v>
      </c>
      <c r="AM8" s="13">
        <v>0.4276</v>
      </c>
      <c r="AN8" s="13">
        <v>4.7147</v>
      </c>
      <c r="AO8" s="13">
        <v>0.021791112817389</v>
      </c>
      <c r="AP8" s="13">
        <v>0.228250989965095</v>
      </c>
      <c r="AQ8" s="13">
        <v>0.211274</v>
      </c>
      <c r="AR8" s="13">
        <v>0.1</v>
      </c>
      <c r="AS8" s="13">
        <v>12.668676194152</v>
      </c>
      <c r="AT8" s="13">
        <f t="shared" si="5"/>
        <v>0.00789348456519562</v>
      </c>
      <c r="AU8" s="13">
        <v>0.11</v>
      </c>
      <c r="AV8" s="13">
        <f t="shared" si="6"/>
        <v>0.909090909090909</v>
      </c>
      <c r="AW8" s="13">
        <v>0.020155</v>
      </c>
      <c r="AX8" s="13">
        <v>0.005064</v>
      </c>
      <c r="AY8" s="13">
        <v>0.7874</v>
      </c>
      <c r="AZ8" s="13">
        <v>5.0136</v>
      </c>
      <c r="BA8" s="13">
        <v>0.0594058378454611</v>
      </c>
      <c r="BB8" s="13">
        <v>0.136767211470084</v>
      </c>
      <c r="BC8" s="13">
        <v>1.198737</v>
      </c>
    </row>
    <row r="9" spans="1:55">
      <c r="A9" s="8" t="s">
        <v>84</v>
      </c>
      <c r="B9" s="8" t="s">
        <v>85</v>
      </c>
      <c r="C9" s="8" t="s">
        <v>82</v>
      </c>
      <c r="D9" s="9">
        <v>198432</v>
      </c>
      <c r="E9" s="8" t="s">
        <v>58</v>
      </c>
      <c r="F9" s="8" t="s">
        <v>67</v>
      </c>
      <c r="G9" s="10">
        <v>593313003000</v>
      </c>
      <c r="H9" s="10">
        <v>2</v>
      </c>
      <c r="I9" s="9">
        <v>4769509583</v>
      </c>
      <c r="J9" s="9">
        <v>7691196381</v>
      </c>
      <c r="K9" s="11">
        <v>90.216</v>
      </c>
      <c r="L9" s="12">
        <v>41535</v>
      </c>
      <c r="M9" s="12">
        <v>36623</v>
      </c>
      <c r="N9" s="9">
        <f t="shared" si="0"/>
        <v>4912</v>
      </c>
      <c r="O9" s="13">
        <v>28.23</v>
      </c>
      <c r="P9" s="13">
        <v>12.83</v>
      </c>
      <c r="Q9" s="13">
        <v>8.47</v>
      </c>
      <c r="R9" s="8" t="s">
        <v>86</v>
      </c>
      <c r="S9" s="13">
        <v>308682</v>
      </c>
      <c r="T9" s="13">
        <v>3.5</v>
      </c>
      <c r="U9" s="13">
        <v>67.0063</v>
      </c>
      <c r="V9" s="13">
        <f t="shared" si="1"/>
        <v>0.0522338944248526</v>
      </c>
      <c r="W9" s="13">
        <v>5.44</v>
      </c>
      <c r="X9" s="13">
        <f t="shared" si="2"/>
        <v>0.643382352941176</v>
      </c>
      <c r="Y9" s="13">
        <v>0.203026</v>
      </c>
      <c r="Z9" s="13">
        <v>0.094741</v>
      </c>
      <c r="AA9" s="13">
        <v>0.7503</v>
      </c>
      <c r="AB9" s="13">
        <v>2.8723</v>
      </c>
      <c r="AC9" s="13">
        <v>0.1486</v>
      </c>
      <c r="AD9" s="13">
        <v>0.4379</v>
      </c>
      <c r="AE9" s="13">
        <v>0.094658</v>
      </c>
      <c r="AF9" s="13">
        <v>2.5</v>
      </c>
      <c r="AG9" s="13">
        <v>56.296369769843</v>
      </c>
      <c r="AH9" s="13">
        <f t="shared" si="3"/>
        <v>0.044407836779188</v>
      </c>
      <c r="AI9" s="13">
        <v>4.34</v>
      </c>
      <c r="AJ9" s="13">
        <f t="shared" si="4"/>
        <v>0.576036866359447</v>
      </c>
      <c r="AK9" s="13">
        <v>0.220711</v>
      </c>
      <c r="AL9" s="13">
        <v>0.086229</v>
      </c>
      <c r="AM9" s="13">
        <v>0.8531</v>
      </c>
      <c r="AN9" s="13">
        <v>3.0265</v>
      </c>
      <c r="AO9" s="13">
        <v>0.100251533729093</v>
      </c>
      <c r="AP9" s="13">
        <v>0.30683477173918</v>
      </c>
      <c r="AQ9" s="13">
        <v>0.006838</v>
      </c>
      <c r="AR9" s="13">
        <v>3</v>
      </c>
      <c r="AS9" s="13">
        <v>54.7937311180637</v>
      </c>
      <c r="AT9" s="13">
        <f t="shared" si="5"/>
        <v>0.054750788799834</v>
      </c>
      <c r="AU9" s="13">
        <v>4.93</v>
      </c>
      <c r="AV9" s="13">
        <f t="shared" si="6"/>
        <v>0.608519269776876</v>
      </c>
      <c r="AW9" s="13">
        <v>0.220526</v>
      </c>
      <c r="AX9" s="13">
        <v>0.090298</v>
      </c>
      <c r="AY9" s="13">
        <v>0.8226</v>
      </c>
      <c r="AZ9" s="13">
        <v>2.9711</v>
      </c>
      <c r="BA9" s="13">
        <v>0.154940037377237</v>
      </c>
      <c r="BB9" s="13">
        <v>0.354180734485026</v>
      </c>
      <c r="BC9" s="13">
        <v>0.080996</v>
      </c>
    </row>
    <row r="10" spans="1:55">
      <c r="A10" s="8" t="s">
        <v>87</v>
      </c>
      <c r="B10" s="8" t="s">
        <v>88</v>
      </c>
      <c r="C10" s="8" t="s">
        <v>89</v>
      </c>
      <c r="D10" s="9">
        <v>97288</v>
      </c>
      <c r="E10" s="8" t="s">
        <v>90</v>
      </c>
      <c r="F10" s="8" t="s">
        <v>67</v>
      </c>
      <c r="G10" s="10">
        <v>364324870642.28</v>
      </c>
      <c r="H10" s="10">
        <v>25</v>
      </c>
      <c r="I10" s="9">
        <v>4908521127</v>
      </c>
      <c r="J10" s="9">
        <v>8713581296</v>
      </c>
      <c r="K10" s="11">
        <v>57.2114</v>
      </c>
      <c r="L10" s="12">
        <v>39202</v>
      </c>
      <c r="M10" s="12">
        <v>37613</v>
      </c>
      <c r="N10" s="9">
        <f t="shared" si="0"/>
        <v>1589</v>
      </c>
      <c r="O10" s="13">
        <v>22.25</v>
      </c>
      <c r="P10" s="13">
        <v>16.32</v>
      </c>
      <c r="Q10" s="13">
        <v>5.06</v>
      </c>
      <c r="R10" s="8" t="s">
        <v>91</v>
      </c>
      <c r="S10" s="13">
        <v>282178</v>
      </c>
      <c r="T10" s="13">
        <v>0.347</v>
      </c>
      <c r="U10" s="13">
        <v>14.6732</v>
      </c>
      <c r="V10" s="13">
        <f t="shared" si="1"/>
        <v>0.0236485565520813</v>
      </c>
      <c r="W10" s="13">
        <v>1.31</v>
      </c>
      <c r="X10" s="13">
        <f t="shared" si="2"/>
        <v>0.264885496183206</v>
      </c>
      <c r="Y10" s="13">
        <v>0.137363</v>
      </c>
      <c r="Z10" s="13">
        <v>0.066195</v>
      </c>
      <c r="AA10" s="13">
        <v>0.6361</v>
      </c>
      <c r="AB10" s="13">
        <v>4.0843</v>
      </c>
      <c r="AC10" s="13">
        <v>0.121</v>
      </c>
      <c r="AD10" s="13">
        <v>0.6229</v>
      </c>
      <c r="AE10" s="13">
        <v>0.008095</v>
      </c>
      <c r="AF10" s="13">
        <v>0.158</v>
      </c>
      <c r="AG10" s="13">
        <v>12.7927449014785</v>
      </c>
      <c r="AH10" s="13">
        <f t="shared" si="3"/>
        <v>0.0123507504618293</v>
      </c>
      <c r="AI10" s="13">
        <v>0.57</v>
      </c>
      <c r="AJ10" s="13">
        <f t="shared" si="4"/>
        <v>0.27719298245614</v>
      </c>
      <c r="AK10" s="13">
        <v>0.068082</v>
      </c>
      <c r="AL10" s="13">
        <v>0.032443</v>
      </c>
      <c r="AM10" s="13">
        <v>0.6138</v>
      </c>
      <c r="AN10" s="13">
        <v>3.9608</v>
      </c>
      <c r="AO10" s="13">
        <v>-0.0134136302668651</v>
      </c>
      <c r="AP10" s="13">
        <v>0.770888756097099</v>
      </c>
      <c r="AQ10" s="13">
        <v>-0.204607</v>
      </c>
      <c r="AR10" s="13">
        <v>0.293</v>
      </c>
      <c r="AS10" s="13">
        <v>12.7263924967034</v>
      </c>
      <c r="AT10" s="13">
        <f t="shared" si="5"/>
        <v>0.0230230208659601</v>
      </c>
      <c r="AU10" s="13">
        <v>1.04</v>
      </c>
      <c r="AV10" s="13">
        <f t="shared" si="6"/>
        <v>0.281730769230769</v>
      </c>
      <c r="AW10" s="13">
        <v>0.1182</v>
      </c>
      <c r="AX10" s="13">
        <v>0.052401</v>
      </c>
      <c r="AY10" s="13">
        <v>0.6815</v>
      </c>
      <c r="AZ10" s="13">
        <v>4.1169</v>
      </c>
      <c r="BA10" s="13">
        <v>0.128393386842036</v>
      </c>
      <c r="BB10" s="13">
        <v>0.772712599404221</v>
      </c>
      <c r="BC10" s="13">
        <v>0.22152</v>
      </c>
    </row>
    <row r="11" spans="1:55">
      <c r="A11" s="8" t="s">
        <v>92</v>
      </c>
      <c r="B11" s="8" t="s">
        <v>93</v>
      </c>
      <c r="C11" s="8" t="s">
        <v>89</v>
      </c>
      <c r="D11" s="9">
        <v>1775</v>
      </c>
      <c r="E11" s="8" t="s">
        <v>94</v>
      </c>
      <c r="F11" s="8" t="s">
        <v>67</v>
      </c>
      <c r="G11" s="10">
        <v>16364547815.56</v>
      </c>
      <c r="H11" s="10">
        <v>7</v>
      </c>
      <c r="I11" s="9">
        <v>698941973</v>
      </c>
      <c r="J11" s="9">
        <v>1570225745</v>
      </c>
      <c r="K11" s="11">
        <v>99.9989</v>
      </c>
      <c r="L11" s="12">
        <v>35244</v>
      </c>
      <c r="M11" s="12">
        <v>35241</v>
      </c>
      <c r="N11" s="9">
        <f t="shared" si="0"/>
        <v>3</v>
      </c>
      <c r="O11" s="13">
        <v>25.99</v>
      </c>
      <c r="P11" s="13">
        <v>10.58</v>
      </c>
      <c r="Q11" s="13">
        <v>9.3634</v>
      </c>
      <c r="R11" s="8"/>
      <c r="S11" s="13">
        <v>36801</v>
      </c>
      <c r="T11" s="13"/>
      <c r="U11" s="13">
        <v>27.4293</v>
      </c>
      <c r="V11" s="13">
        <f t="shared" si="1"/>
        <v>0</v>
      </c>
      <c r="W11" s="13">
        <v>1.64</v>
      </c>
      <c r="X11" s="13">
        <f t="shared" si="2"/>
        <v>0</v>
      </c>
      <c r="Y11" s="13">
        <v>0.191658</v>
      </c>
      <c r="Z11" s="13">
        <v>0.790351</v>
      </c>
      <c r="AA11" s="13">
        <v>0.2228</v>
      </c>
      <c r="AB11" s="13">
        <v>1.0836</v>
      </c>
      <c r="AC11" s="13">
        <v>0.2828</v>
      </c>
      <c r="AD11" s="13">
        <v>1.2732</v>
      </c>
      <c r="AE11" s="13">
        <v>-0.377923</v>
      </c>
      <c r="AF11" s="13">
        <v>0.96</v>
      </c>
      <c r="AG11" s="13">
        <v>32.1420138692145</v>
      </c>
      <c r="AH11" s="13">
        <f t="shared" si="3"/>
        <v>0.0298674502445998</v>
      </c>
      <c r="AI11" s="13">
        <v>3.57</v>
      </c>
      <c r="AJ11" s="13">
        <f t="shared" si="4"/>
        <v>0.26890756302521</v>
      </c>
      <c r="AK11" s="13">
        <v>0.524145</v>
      </c>
      <c r="AL11" s="13">
        <v>0.690131</v>
      </c>
      <c r="AM11" s="13">
        <v>0.6783</v>
      </c>
      <c r="AN11" s="13">
        <v>1.1197</v>
      </c>
      <c r="AO11" s="13">
        <v>0.662746816137669</v>
      </c>
      <c r="AP11" s="13">
        <v>2.05755987858915</v>
      </c>
      <c r="AQ11" s="13">
        <v>1.261891</v>
      </c>
      <c r="AR11" s="13">
        <v>0.8</v>
      </c>
      <c r="AS11" s="13">
        <v>24.4960094344672</v>
      </c>
      <c r="AT11" s="13">
        <f t="shared" si="5"/>
        <v>0.0326583806289018</v>
      </c>
      <c r="AU11" s="13">
        <v>2.18</v>
      </c>
      <c r="AV11" s="13">
        <f t="shared" si="6"/>
        <v>0.36697247706422</v>
      </c>
      <c r="AW11" s="13">
        <v>0.271619</v>
      </c>
      <c r="AX11" s="13">
        <v>0.652992</v>
      </c>
      <c r="AY11" s="13">
        <v>0.3783</v>
      </c>
      <c r="AZ11" s="13">
        <v>1.0972</v>
      </c>
      <c r="BA11" s="13">
        <v>0.571030846510529</v>
      </c>
      <c r="BB11" s="13">
        <v>1.76686023301336</v>
      </c>
      <c r="BC11" s="13">
        <v>-0.362244</v>
      </c>
    </row>
    <row r="12" spans="1:55">
      <c r="A12" s="8" t="s">
        <v>95</v>
      </c>
      <c r="B12" s="8" t="s">
        <v>96</v>
      </c>
      <c r="C12" s="8" t="s">
        <v>89</v>
      </c>
      <c r="D12" s="9">
        <v>27791</v>
      </c>
      <c r="E12" s="8" t="s">
        <v>83</v>
      </c>
      <c r="F12" s="8" t="s">
        <v>67</v>
      </c>
      <c r="G12" s="10">
        <v>179643872158.98</v>
      </c>
      <c r="H12" s="10">
        <v>9</v>
      </c>
      <c r="I12" s="9">
        <v>8475995805</v>
      </c>
      <c r="J12" s="9">
        <v>11752972482</v>
      </c>
      <c r="K12" s="11">
        <v>79.0366</v>
      </c>
      <c r="L12" s="12">
        <v>35305</v>
      </c>
      <c r="M12" s="12">
        <v>34318</v>
      </c>
      <c r="N12" s="9">
        <f t="shared" si="0"/>
        <v>987</v>
      </c>
      <c r="O12" s="13">
        <v>20.94</v>
      </c>
      <c r="P12" s="13">
        <v>6.2</v>
      </c>
      <c r="Q12" s="13">
        <v>4.95</v>
      </c>
      <c r="R12" s="8" t="s">
        <v>97</v>
      </c>
      <c r="S12" s="13">
        <v>106090</v>
      </c>
      <c r="T12" s="13">
        <v>0.18</v>
      </c>
      <c r="U12" s="13">
        <v>7.0397</v>
      </c>
      <c r="V12" s="13">
        <f t="shared" si="1"/>
        <v>0.0255692714178161</v>
      </c>
      <c r="W12" s="13">
        <v>0.51</v>
      </c>
      <c r="X12" s="13">
        <f t="shared" si="2"/>
        <v>0.352941176470588</v>
      </c>
      <c r="Y12" s="13">
        <v>0.103524</v>
      </c>
      <c r="Z12" s="13">
        <v>0.065279</v>
      </c>
      <c r="AA12" s="13">
        <v>0.5676</v>
      </c>
      <c r="AB12" s="13">
        <v>2.7974</v>
      </c>
      <c r="AC12" s="13">
        <v>0.0624</v>
      </c>
      <c r="AD12" s="13">
        <v>0.2864</v>
      </c>
      <c r="AE12" s="13">
        <v>-0.0128</v>
      </c>
      <c r="AF12" s="13">
        <v>0.15</v>
      </c>
      <c r="AG12" s="13">
        <v>5.35198621476466</v>
      </c>
      <c r="AH12" s="13">
        <f t="shared" si="3"/>
        <v>0.0280269780191494</v>
      </c>
      <c r="AI12" s="13">
        <v>0.36</v>
      </c>
      <c r="AJ12" s="13">
        <f t="shared" si="4"/>
        <v>0.416666666666667</v>
      </c>
      <c r="AK12" s="13">
        <v>0.096036</v>
      </c>
      <c r="AL12" s="13">
        <v>0.045777</v>
      </c>
      <c r="AM12" s="13">
        <v>0.6581</v>
      </c>
      <c r="AN12" s="13">
        <v>3.1786</v>
      </c>
      <c r="AO12" s="13">
        <v>0.0168722276095749</v>
      </c>
      <c r="AP12" s="13">
        <v>0.419488584555098</v>
      </c>
      <c r="AQ12" s="13">
        <v>-0.196745</v>
      </c>
      <c r="AR12" s="13">
        <v>0.18</v>
      </c>
      <c r="AS12" s="13">
        <v>6.39507303577838</v>
      </c>
      <c r="AT12" s="13">
        <f t="shared" si="5"/>
        <v>0.0281466683793848</v>
      </c>
      <c r="AU12" s="13">
        <v>0.45</v>
      </c>
      <c r="AV12" s="13">
        <f t="shared" si="6"/>
        <v>0.4</v>
      </c>
      <c r="AW12" s="13">
        <v>0.097377</v>
      </c>
      <c r="AX12" s="13">
        <v>0.056394</v>
      </c>
      <c r="AY12" s="13">
        <v>0.5509</v>
      </c>
      <c r="AZ12" s="13">
        <v>3.0812</v>
      </c>
      <c r="BA12" s="13">
        <v>0.0384596861987869</v>
      </c>
      <c r="BB12" s="13">
        <v>0.313435455265375</v>
      </c>
      <c r="BC12" s="13">
        <v>-0.010328</v>
      </c>
    </row>
    <row r="13" spans="1:55">
      <c r="A13" s="8" t="s">
        <v>98</v>
      </c>
      <c r="B13" s="8" t="s">
        <v>99</v>
      </c>
      <c r="C13" s="8" t="s">
        <v>57</v>
      </c>
      <c r="D13" s="9">
        <v>9277</v>
      </c>
      <c r="E13" s="8" t="s">
        <v>100</v>
      </c>
      <c r="F13" s="8" t="s">
        <v>67</v>
      </c>
      <c r="G13" s="10">
        <v>53343484721.39</v>
      </c>
      <c r="H13" s="10">
        <v>28</v>
      </c>
      <c r="I13" s="9">
        <v>776302371</v>
      </c>
      <c r="J13" s="9">
        <v>1784262603</v>
      </c>
      <c r="K13" s="11">
        <v>99.3572</v>
      </c>
      <c r="L13" s="12">
        <v>34318</v>
      </c>
      <c r="M13" s="12">
        <v>34303</v>
      </c>
      <c r="N13" s="9">
        <f t="shared" si="0"/>
        <v>15</v>
      </c>
      <c r="O13" s="13">
        <v>26.2</v>
      </c>
      <c r="P13" s="13">
        <v>21.28</v>
      </c>
      <c r="Q13" s="13">
        <v>8.19</v>
      </c>
      <c r="R13" s="8" t="s">
        <v>101</v>
      </c>
      <c r="S13" s="13">
        <v>166806</v>
      </c>
      <c r="T13" s="13">
        <v>1.185</v>
      </c>
      <c r="U13" s="13">
        <v>54.431</v>
      </c>
      <c r="V13" s="13">
        <f t="shared" si="1"/>
        <v>0.0217706821480406</v>
      </c>
      <c r="W13" s="13">
        <v>2.66</v>
      </c>
      <c r="X13" s="13">
        <f t="shared" si="2"/>
        <v>0.445488721804511</v>
      </c>
      <c r="Y13" s="13">
        <v>0.12068</v>
      </c>
      <c r="Z13" s="13">
        <v>0.119078</v>
      </c>
      <c r="AA13" s="13">
        <v>0.7504</v>
      </c>
      <c r="AB13" s="13">
        <v>1.3556</v>
      </c>
      <c r="AC13" s="13">
        <v>0.1073</v>
      </c>
      <c r="AD13" s="13">
        <v>1.1171</v>
      </c>
      <c r="AE13" s="13">
        <v>0.023574</v>
      </c>
      <c r="AF13" s="13">
        <v>1.52</v>
      </c>
      <c r="AG13" s="13">
        <v>64.9047696459794</v>
      </c>
      <c r="AH13" s="13">
        <f t="shared" si="3"/>
        <v>0.0234189260402707</v>
      </c>
      <c r="AI13" s="13">
        <v>1.9</v>
      </c>
      <c r="AJ13" s="13">
        <f t="shared" si="4"/>
        <v>0.8</v>
      </c>
      <c r="AK13" s="13">
        <v>0.078226</v>
      </c>
      <c r="AL13" s="13">
        <v>0.077844</v>
      </c>
      <c r="AM13" s="13">
        <v>0.691</v>
      </c>
      <c r="AN13" s="13">
        <v>1.3764</v>
      </c>
      <c r="AO13" s="13">
        <v>0.0879570613734605</v>
      </c>
      <c r="AP13" s="13">
        <v>1.19935614893757</v>
      </c>
      <c r="AQ13" s="13">
        <v>0.003147</v>
      </c>
      <c r="AR13" s="13">
        <v>2.077</v>
      </c>
      <c r="AS13" s="13">
        <v>53.7117228267685</v>
      </c>
      <c r="AT13" s="13">
        <f t="shared" si="5"/>
        <v>0.0386693982373039</v>
      </c>
      <c r="AU13" s="13">
        <v>2.29</v>
      </c>
      <c r="AV13" s="13">
        <f t="shared" si="6"/>
        <v>0.906986899563319</v>
      </c>
      <c r="AW13" s="13">
        <v>0.104456</v>
      </c>
      <c r="AX13" s="13">
        <v>0.105406</v>
      </c>
      <c r="AY13" s="13">
        <v>0.7303</v>
      </c>
      <c r="AZ13" s="13">
        <v>1.3664</v>
      </c>
      <c r="BA13" s="13">
        <v>0.0895583386518885</v>
      </c>
      <c r="BB13" s="13">
        <v>1.14582396607257</v>
      </c>
      <c r="BC13" s="13">
        <v>0.071884</v>
      </c>
    </row>
    <row r="14" spans="1:55">
      <c r="A14" s="8" t="s">
        <v>102</v>
      </c>
      <c r="B14" s="8" t="s">
        <v>103</v>
      </c>
      <c r="C14" s="8" t="s">
        <v>89</v>
      </c>
      <c r="D14" s="9">
        <v>3832</v>
      </c>
      <c r="E14" s="8" t="s">
        <v>104</v>
      </c>
      <c r="F14" s="8" t="s">
        <v>67</v>
      </c>
      <c r="G14" s="10">
        <v>65496029532.83</v>
      </c>
      <c r="H14" s="10">
        <v>5</v>
      </c>
      <c r="I14" s="9">
        <v>719861002</v>
      </c>
      <c r="J14" s="9">
        <v>1471941963</v>
      </c>
      <c r="K14" s="11">
        <v>99.8182</v>
      </c>
      <c r="L14" s="12">
        <v>34463</v>
      </c>
      <c r="M14" s="12">
        <v>34822</v>
      </c>
      <c r="N14" s="9">
        <f t="shared" si="0"/>
        <v>-359</v>
      </c>
      <c r="O14" s="13">
        <v>26.05</v>
      </c>
      <c r="P14" s="13">
        <v>24.86</v>
      </c>
      <c r="Q14" s="13">
        <v>3.89</v>
      </c>
      <c r="R14" s="8" t="s">
        <v>105</v>
      </c>
      <c r="S14" s="13">
        <v>161212</v>
      </c>
      <c r="T14" s="13">
        <v>4.592</v>
      </c>
      <c r="U14" s="13">
        <v>147.2814</v>
      </c>
      <c r="V14" s="13">
        <f t="shared" si="1"/>
        <v>0.0311784108516079</v>
      </c>
      <c r="W14" s="13">
        <v>9.18</v>
      </c>
      <c r="X14" s="13">
        <f t="shared" si="2"/>
        <v>0.500217864923747</v>
      </c>
      <c r="Y14" s="13">
        <v>0.303514</v>
      </c>
      <c r="Z14" s="13">
        <v>0.432673</v>
      </c>
      <c r="AA14" s="13">
        <v>0.474</v>
      </c>
      <c r="AB14" s="13">
        <v>1.4826</v>
      </c>
      <c r="AC14" s="13">
        <v>0.6149</v>
      </c>
      <c r="AD14" s="13">
        <v>2.4706</v>
      </c>
      <c r="AE14" s="13">
        <v>0.031851</v>
      </c>
      <c r="AF14" s="13">
        <v>4.225</v>
      </c>
      <c r="AG14" s="13">
        <v>207.896504291485</v>
      </c>
      <c r="AH14" s="13">
        <f t="shared" si="3"/>
        <v>0.0203226120342854</v>
      </c>
      <c r="AI14" s="13">
        <v>7.06</v>
      </c>
      <c r="AJ14" s="13">
        <f t="shared" si="4"/>
        <v>0.598441926345609</v>
      </c>
      <c r="AK14" s="13">
        <v>0.333034</v>
      </c>
      <c r="AL14" s="13">
        <v>0.414376</v>
      </c>
      <c r="AM14" s="13">
        <v>0.5312</v>
      </c>
      <c r="AN14" s="13">
        <v>1.5197</v>
      </c>
      <c r="AO14" s="13">
        <v>0.32888042911706</v>
      </c>
      <c r="AP14" s="13">
        <v>1.76781300778876</v>
      </c>
      <c r="AQ14" s="13">
        <v>0.217094</v>
      </c>
      <c r="AR14" s="13">
        <v>5.400078</v>
      </c>
      <c r="AS14" s="13">
        <v>223.575662284158</v>
      </c>
      <c r="AT14" s="13">
        <f t="shared" si="5"/>
        <v>0.0241532461307737</v>
      </c>
      <c r="AU14" s="13">
        <v>9.02</v>
      </c>
      <c r="AV14" s="13">
        <f t="shared" si="6"/>
        <v>0.598678270509978</v>
      </c>
      <c r="AW14" s="13">
        <v>0.350437</v>
      </c>
      <c r="AX14" s="13">
        <v>0.439537</v>
      </c>
      <c r="AY14" s="13">
        <v>0.5273</v>
      </c>
      <c r="AZ14" s="13">
        <v>1.5169</v>
      </c>
      <c r="BA14" s="13">
        <v>0.352206489086729</v>
      </c>
      <c r="BB14" s="13">
        <v>2.71864576358407</v>
      </c>
      <c r="BC14" s="13">
        <v>0.203384</v>
      </c>
    </row>
    <row r="15" spans="1:55">
      <c r="A15" s="8" t="s">
        <v>106</v>
      </c>
      <c r="B15" s="8" t="s">
        <v>107</v>
      </c>
      <c r="C15" s="8" t="s">
        <v>89</v>
      </c>
      <c r="D15" s="9">
        <v>13453</v>
      </c>
      <c r="E15" s="8" t="s">
        <v>108</v>
      </c>
      <c r="F15" s="8" t="s">
        <v>67</v>
      </c>
      <c r="G15" s="10">
        <v>38224201011.05</v>
      </c>
      <c r="H15" s="10">
        <v>0</v>
      </c>
      <c r="I15" s="9">
        <v>137195978</v>
      </c>
      <c r="J15" s="9">
        <v>528600000</v>
      </c>
      <c r="K15" s="11">
        <v>77.2985</v>
      </c>
      <c r="L15" s="12">
        <v>35335</v>
      </c>
      <c r="M15" s="12">
        <v>36224</v>
      </c>
      <c r="N15" s="9">
        <f t="shared" si="0"/>
        <v>-889</v>
      </c>
      <c r="O15" s="13">
        <v>51.34</v>
      </c>
      <c r="P15" s="13">
        <v>3.02</v>
      </c>
      <c r="Q15" s="13">
        <v>1.69</v>
      </c>
      <c r="R15" s="8" t="s">
        <v>109</v>
      </c>
      <c r="S15" s="13">
        <v>47274</v>
      </c>
      <c r="T15" s="13">
        <v>5</v>
      </c>
      <c r="U15" s="13">
        <v>204.9999</v>
      </c>
      <c r="V15" s="13">
        <f t="shared" si="1"/>
        <v>0.0243902558001248</v>
      </c>
      <c r="W15" s="13">
        <v>10.44</v>
      </c>
      <c r="X15" s="13">
        <f t="shared" si="2"/>
        <v>0.478927203065134</v>
      </c>
      <c r="Y15" s="13">
        <v>0.238933</v>
      </c>
      <c r="Z15" s="13">
        <v>0.242032</v>
      </c>
      <c r="AA15" s="13">
        <v>0.6209</v>
      </c>
      <c r="AB15" s="13">
        <v>1.6444</v>
      </c>
      <c r="AC15" s="13">
        <v>0.2005</v>
      </c>
      <c r="AD15" s="13">
        <v>1.115</v>
      </c>
      <c r="AE15" s="13">
        <v>0.164139</v>
      </c>
      <c r="AF15" s="13">
        <v>3</v>
      </c>
      <c r="AG15" s="13">
        <v>222.328155560091</v>
      </c>
      <c r="AH15" s="13">
        <f t="shared" si="3"/>
        <v>0.013493567616042</v>
      </c>
      <c r="AI15" s="13">
        <v>5.95</v>
      </c>
      <c r="AJ15" s="13">
        <f t="shared" si="4"/>
        <v>0.504201680672269</v>
      </c>
      <c r="AK15" s="13">
        <v>0.17931</v>
      </c>
      <c r="AL15" s="13">
        <v>0.194566</v>
      </c>
      <c r="AM15" s="13">
        <v>0.6055</v>
      </c>
      <c r="AN15" s="13">
        <v>1.5748</v>
      </c>
      <c r="AO15" s="13">
        <v>0.185955306491379</v>
      </c>
      <c r="AP15" s="13">
        <v>1.55420315400102</v>
      </c>
      <c r="AQ15" s="13">
        <v>0.259492</v>
      </c>
      <c r="AR15" s="13">
        <v>4.5</v>
      </c>
      <c r="AS15" s="13">
        <v>269.529271690501</v>
      </c>
      <c r="AT15" s="13">
        <f t="shared" si="5"/>
        <v>0.01669577471781</v>
      </c>
      <c r="AU15" s="13">
        <v>8.68</v>
      </c>
      <c r="AV15" s="13">
        <f t="shared" si="6"/>
        <v>0.518433179723502</v>
      </c>
      <c r="AW15" s="13">
        <v>0.229194</v>
      </c>
      <c r="AX15" s="13">
        <v>0.233355</v>
      </c>
      <c r="AY15" s="13">
        <v>0.6212</v>
      </c>
      <c r="AZ15" s="13">
        <v>1.6284</v>
      </c>
      <c r="BA15" s="13">
        <v>0.221996204594787</v>
      </c>
      <c r="BB15" s="13">
        <v>1.3447401526985</v>
      </c>
      <c r="BC15" s="13">
        <v>0.211826</v>
      </c>
    </row>
    <row r="16" spans="1:55">
      <c r="A16" s="8" t="s">
        <v>110</v>
      </c>
      <c r="B16" s="8" t="s">
        <v>111</v>
      </c>
      <c r="C16" s="8" t="s">
        <v>77</v>
      </c>
      <c r="D16" s="9">
        <v>3979</v>
      </c>
      <c r="E16" s="8" t="s">
        <v>78</v>
      </c>
      <c r="F16" s="8" t="s">
        <v>59</v>
      </c>
      <c r="G16" s="10">
        <v>1116021671826.14</v>
      </c>
      <c r="H16" s="10">
        <v>7</v>
      </c>
      <c r="I16" s="9">
        <v>2525579044</v>
      </c>
      <c r="J16" s="9">
        <v>12642079079</v>
      </c>
      <c r="K16" s="11">
        <v>100</v>
      </c>
      <c r="L16" s="12">
        <v>35360</v>
      </c>
      <c r="M16" s="12">
        <v>35349</v>
      </c>
      <c r="N16" s="9">
        <f t="shared" si="0"/>
        <v>11</v>
      </c>
      <c r="O16" s="13">
        <v>77.35</v>
      </c>
      <c r="P16" s="13">
        <v>1.91</v>
      </c>
      <c r="Q16" s="13">
        <v>1.43</v>
      </c>
      <c r="R16" s="8" t="s">
        <v>112</v>
      </c>
      <c r="S16" s="13">
        <v>241740</v>
      </c>
      <c r="T16" s="13">
        <v>0.057</v>
      </c>
      <c r="U16" s="13">
        <v>7.1787</v>
      </c>
      <c r="V16" s="13">
        <f t="shared" si="1"/>
        <v>0.00794015629570814</v>
      </c>
      <c r="W16" s="13">
        <v>0.37</v>
      </c>
      <c r="X16" s="13">
        <f t="shared" si="2"/>
        <v>0.154054054054054</v>
      </c>
      <c r="Y16" s="13">
        <v>0.046098</v>
      </c>
      <c r="Z16" s="13">
        <v>0.25369</v>
      </c>
      <c r="AA16" s="13">
        <v>0.0362</v>
      </c>
      <c r="AB16" s="13">
        <v>10.692</v>
      </c>
      <c r="AC16" s="13">
        <v>7.367</v>
      </c>
      <c r="AD16" s="13">
        <v>0.1093</v>
      </c>
      <c r="AE16" s="13">
        <v>0.00082</v>
      </c>
      <c r="AF16" s="13">
        <v>0.117</v>
      </c>
      <c r="AG16" s="13">
        <v>5.93370818249131</v>
      </c>
      <c r="AH16" s="13">
        <f t="shared" si="3"/>
        <v>0.019717855412107</v>
      </c>
      <c r="AI16" s="13">
        <v>0.39</v>
      </c>
      <c r="AJ16" s="13">
        <f t="shared" si="4"/>
        <v>0.3</v>
      </c>
      <c r="AK16" s="13">
        <v>0.052195</v>
      </c>
      <c r="AL16" s="13">
        <v>0.334138</v>
      </c>
      <c r="AM16" s="13">
        <v>0.0322</v>
      </c>
      <c r="AN16" s="13">
        <v>10.6889</v>
      </c>
      <c r="AO16" s="13">
        <v>1.36004150555634</v>
      </c>
      <c r="AP16" s="13">
        <v>0.11500332106008</v>
      </c>
      <c r="AQ16" s="13">
        <v>0.047394</v>
      </c>
      <c r="AR16" s="13">
        <v>0.117</v>
      </c>
      <c r="AS16" s="13">
        <v>7.21028090684437</v>
      </c>
      <c r="AT16" s="13">
        <f t="shared" si="5"/>
        <v>0.0162268296494437</v>
      </c>
      <c r="AU16" s="13">
        <v>0.39</v>
      </c>
      <c r="AV16" s="13">
        <f t="shared" si="6"/>
        <v>0.3</v>
      </c>
      <c r="AW16" s="13">
        <v>0.050341</v>
      </c>
      <c r="AX16" s="13">
        <v>0.28421</v>
      </c>
      <c r="AY16" s="13">
        <v>0.0372</v>
      </c>
      <c r="AZ16" s="13">
        <v>10.7172</v>
      </c>
      <c r="BA16" s="13">
        <v>1.04004508710623</v>
      </c>
      <c r="BB16" s="13">
        <v>0.118069276750207</v>
      </c>
      <c r="BC16" s="13">
        <v>0.202293</v>
      </c>
    </row>
    <row r="17" spans="1:55">
      <c r="A17" s="8" t="s">
        <v>113</v>
      </c>
      <c r="B17" s="8" t="s">
        <v>114</v>
      </c>
      <c r="C17" s="8" t="s">
        <v>77</v>
      </c>
      <c r="D17" s="9">
        <v>55119</v>
      </c>
      <c r="E17" s="8" t="s">
        <v>115</v>
      </c>
      <c r="F17" s="8" t="s">
        <v>67</v>
      </c>
      <c r="G17" s="10">
        <v>185630444877.38</v>
      </c>
      <c r="H17" s="10">
        <v>21</v>
      </c>
      <c r="I17" s="9">
        <v>4183664340</v>
      </c>
      <c r="J17" s="9">
        <v>9914086060</v>
      </c>
      <c r="K17" s="11">
        <v>83.317</v>
      </c>
      <c r="L17" s="12">
        <v>35591</v>
      </c>
      <c r="M17" s="12">
        <v>35369</v>
      </c>
      <c r="N17" s="9">
        <f t="shared" si="0"/>
        <v>222</v>
      </c>
      <c r="O17" s="13">
        <v>17.99</v>
      </c>
      <c r="P17" s="13">
        <v>14.23</v>
      </c>
      <c r="Q17" s="13"/>
      <c r="R17" s="8"/>
      <c r="S17" s="13">
        <v>621475</v>
      </c>
      <c r="T17" s="13">
        <v>0.295</v>
      </c>
      <c r="U17" s="13">
        <v>14.6052</v>
      </c>
      <c r="V17" s="13">
        <f t="shared" si="1"/>
        <v>0.0201982855421357</v>
      </c>
      <c r="W17" s="13">
        <v>0.74</v>
      </c>
      <c r="X17" s="13">
        <f t="shared" si="2"/>
        <v>0.398648648648649</v>
      </c>
      <c r="Y17" s="13">
        <v>0.098651</v>
      </c>
      <c r="Z17" s="13">
        <v>0.038215</v>
      </c>
      <c r="AA17" s="13">
        <v>0.802</v>
      </c>
      <c r="AB17" s="13">
        <v>2.6837</v>
      </c>
      <c r="AC17" s="13">
        <v>0.0304</v>
      </c>
      <c r="AD17" s="13">
        <v>0.9697</v>
      </c>
      <c r="AE17" s="13">
        <v>0.055753</v>
      </c>
      <c r="AF17" s="13">
        <v>0.236</v>
      </c>
      <c r="AG17" s="13">
        <v>15.1309933159593</v>
      </c>
      <c r="AH17" s="13">
        <f t="shared" si="3"/>
        <v>0.0155971253883961</v>
      </c>
      <c r="AI17" s="13">
        <v>0.796</v>
      </c>
      <c r="AJ17" s="13">
        <f t="shared" si="4"/>
        <v>0.296482412060301</v>
      </c>
      <c r="AK17" s="13">
        <v>0.131518</v>
      </c>
      <c r="AL17" s="13">
        <v>0.063872</v>
      </c>
      <c r="AM17" s="13">
        <v>0.8616</v>
      </c>
      <c r="AN17" s="13">
        <v>2.3733</v>
      </c>
      <c r="AO17" s="13">
        <v>0.0467316537325594</v>
      </c>
      <c r="AP17" s="13">
        <v>1.12147179371278</v>
      </c>
      <c r="AQ17" s="13">
        <v>0.153231</v>
      </c>
      <c r="AR17" s="13">
        <v>0.343</v>
      </c>
      <c r="AS17" s="13">
        <v>14.8083731957409</v>
      </c>
      <c r="AT17" s="13">
        <f t="shared" si="5"/>
        <v>0.0231625713011239</v>
      </c>
      <c r="AU17" s="13">
        <v>1.15</v>
      </c>
      <c r="AV17" s="13">
        <f t="shared" si="6"/>
        <v>0.298260869565217</v>
      </c>
      <c r="AW17" s="13">
        <v>0.168174</v>
      </c>
      <c r="AX17" s="13">
        <v>0.062803</v>
      </c>
      <c r="AY17" s="13">
        <v>0.9</v>
      </c>
      <c r="AZ17" s="13">
        <v>2.4959</v>
      </c>
      <c r="BA17" s="13">
        <v>0.131274073333469</v>
      </c>
      <c r="BB17" s="13">
        <v>0.994745571231121</v>
      </c>
      <c r="BC17" s="13">
        <v>0.247787</v>
      </c>
    </row>
    <row r="18" spans="1:55">
      <c r="A18" s="8" t="s">
        <v>116</v>
      </c>
      <c r="B18" s="8" t="s">
        <v>117</v>
      </c>
      <c r="C18" s="8" t="s">
        <v>89</v>
      </c>
      <c r="D18" s="9">
        <v>11669</v>
      </c>
      <c r="E18" s="8" t="s">
        <v>108</v>
      </c>
      <c r="F18" s="8" t="s">
        <v>67</v>
      </c>
      <c r="G18" s="10">
        <v>91902167654.45</v>
      </c>
      <c r="H18" s="10">
        <v>0</v>
      </c>
      <c r="I18" s="9">
        <v>7297264986</v>
      </c>
      <c r="J18" s="9">
        <v>13409471510</v>
      </c>
      <c r="K18" s="11">
        <v>83.0981</v>
      </c>
      <c r="L18" s="12">
        <v>35389</v>
      </c>
      <c r="M18" s="12">
        <v>35381</v>
      </c>
      <c r="N18" s="9">
        <f t="shared" si="0"/>
        <v>8</v>
      </c>
      <c r="O18" s="13">
        <v>45.58</v>
      </c>
      <c r="P18" s="13">
        <v>2.01</v>
      </c>
      <c r="Q18" s="13">
        <v>0.98</v>
      </c>
      <c r="R18" s="8" t="s">
        <v>118</v>
      </c>
      <c r="S18" s="13">
        <v>269241</v>
      </c>
      <c r="T18" s="13">
        <v>0.1</v>
      </c>
      <c r="U18" s="13">
        <v>3.5992</v>
      </c>
      <c r="V18" s="13">
        <f t="shared" si="1"/>
        <v>0.027783951989331</v>
      </c>
      <c r="W18" s="13">
        <v>0.22</v>
      </c>
      <c r="X18" s="13">
        <f t="shared" si="2"/>
        <v>0.454545454545455</v>
      </c>
      <c r="Y18" s="13">
        <v>0.08549</v>
      </c>
      <c r="Z18" s="13">
        <v>0.026189</v>
      </c>
      <c r="AA18" s="13">
        <v>1.8284</v>
      </c>
      <c r="AB18" s="13">
        <v>2.4228</v>
      </c>
      <c r="AC18" s="13">
        <v>0.0105</v>
      </c>
      <c r="AD18" s="13">
        <v>0.3746</v>
      </c>
      <c r="AE18" s="13">
        <v>0.058766</v>
      </c>
      <c r="AF18" s="13">
        <v>0.05</v>
      </c>
      <c r="AG18" s="13">
        <v>3.46602398298005</v>
      </c>
      <c r="AH18" s="13">
        <f t="shared" si="3"/>
        <v>0.0144257513062592</v>
      </c>
      <c r="AI18" s="13">
        <v>0.26</v>
      </c>
      <c r="AJ18" s="13">
        <f t="shared" si="4"/>
        <v>0.192307692307692</v>
      </c>
      <c r="AK18" s="13">
        <v>0.116014</v>
      </c>
      <c r="AL18" s="13">
        <v>0.026101</v>
      </c>
      <c r="AM18" s="13">
        <v>2.1705</v>
      </c>
      <c r="AN18" s="13">
        <v>2.3853</v>
      </c>
      <c r="AO18" s="13">
        <v>0.0520675860233431</v>
      </c>
      <c r="AP18" s="13">
        <v>0.474470791647692</v>
      </c>
      <c r="AQ18" s="13">
        <v>-0.070121</v>
      </c>
      <c r="AR18" s="13">
        <v>0.0792126</v>
      </c>
      <c r="AS18" s="13">
        <v>3.20301723585953</v>
      </c>
      <c r="AT18" s="13">
        <f t="shared" si="5"/>
        <v>0.0247306193401558</v>
      </c>
      <c r="AU18" s="13">
        <v>0.21</v>
      </c>
      <c r="AV18" s="13">
        <f t="shared" si="6"/>
        <v>0.377202857142857</v>
      </c>
      <c r="AW18" s="13">
        <v>0.09441</v>
      </c>
      <c r="AX18" s="13">
        <v>0.027606</v>
      </c>
      <c r="AY18" s="13">
        <v>1.9681</v>
      </c>
      <c r="AZ18" s="13">
        <v>2.4428</v>
      </c>
      <c r="BA18" s="13">
        <v>0.0431028867921865</v>
      </c>
      <c r="BB18" s="13">
        <v>0.529605081479705</v>
      </c>
      <c r="BC18" s="13">
        <v>0.128075</v>
      </c>
    </row>
    <row r="19" spans="1:55">
      <c r="A19" s="8" t="s">
        <v>119</v>
      </c>
      <c r="B19" s="8" t="s">
        <v>120</v>
      </c>
      <c r="C19" s="8" t="s">
        <v>57</v>
      </c>
      <c r="D19" s="9">
        <v>72808</v>
      </c>
      <c r="E19" s="8" t="s">
        <v>58</v>
      </c>
      <c r="F19" s="8" t="s">
        <v>67</v>
      </c>
      <c r="G19" s="10">
        <v>399221931501.58</v>
      </c>
      <c r="H19" s="10">
        <v>0</v>
      </c>
      <c r="I19" s="9">
        <v>4148770640</v>
      </c>
      <c r="J19" s="9">
        <v>5601405741</v>
      </c>
      <c r="K19" s="11">
        <v>98.4602</v>
      </c>
      <c r="L19" s="12">
        <v>35387</v>
      </c>
      <c r="M19" s="12">
        <v>32855</v>
      </c>
      <c r="N19" s="9">
        <f t="shared" si="0"/>
        <v>2532</v>
      </c>
      <c r="O19" s="13">
        <v>16.11</v>
      </c>
      <c r="P19" s="13">
        <v>7.83</v>
      </c>
      <c r="Q19" s="13">
        <v>3.93</v>
      </c>
      <c r="R19" s="8" t="s">
        <v>121</v>
      </c>
      <c r="S19" s="13">
        <v>575123</v>
      </c>
      <c r="T19" s="13">
        <v>2</v>
      </c>
      <c r="U19" s="13">
        <v>40.8851</v>
      </c>
      <c r="V19" s="13">
        <f t="shared" si="1"/>
        <v>0.0489175763297632</v>
      </c>
      <c r="W19" s="13">
        <v>5.83</v>
      </c>
      <c r="X19" s="13">
        <f t="shared" si="2"/>
        <v>0.343053173241852</v>
      </c>
      <c r="Y19" s="13">
        <v>0.253212</v>
      </c>
      <c r="Z19" s="13">
        <v>0.17034</v>
      </c>
      <c r="AA19" s="13">
        <v>0.5163</v>
      </c>
      <c r="AB19" s="13">
        <v>2.8956</v>
      </c>
      <c r="AC19" s="13">
        <v>0.1553</v>
      </c>
      <c r="AD19" s="13">
        <v>0.6486</v>
      </c>
      <c r="AE19" s="13">
        <v>-0.073067</v>
      </c>
      <c r="AF19" s="13">
        <v>1</v>
      </c>
      <c r="AG19" s="13">
        <v>33.7806253236798</v>
      </c>
      <c r="AH19" s="13">
        <f t="shared" si="3"/>
        <v>0.0296027675751465</v>
      </c>
      <c r="AI19" s="13">
        <v>4.43</v>
      </c>
      <c r="AJ19" s="13">
        <f t="shared" si="4"/>
        <v>0.225733634311512</v>
      </c>
      <c r="AK19" s="13">
        <v>0.244564</v>
      </c>
      <c r="AL19" s="13">
        <v>0.121016</v>
      </c>
      <c r="AM19" s="13">
        <v>0.5637</v>
      </c>
      <c r="AN19" s="13">
        <v>3.3662</v>
      </c>
      <c r="AO19" s="13">
        <v>0.15076694464448</v>
      </c>
      <c r="AP19" s="13">
        <v>0.745745295894739</v>
      </c>
      <c r="AQ19" s="13">
        <v>0.002619</v>
      </c>
      <c r="AR19" s="13">
        <v>2.38</v>
      </c>
      <c r="AS19" s="13">
        <v>35.64582093787</v>
      </c>
      <c r="AT19" s="13">
        <f t="shared" si="5"/>
        <v>0.0667679951640978</v>
      </c>
      <c r="AU19" s="13">
        <v>5.22</v>
      </c>
      <c r="AV19" s="13">
        <f t="shared" si="6"/>
        <v>0.455938697318008</v>
      </c>
      <c r="AW19" s="13">
        <v>0.271759</v>
      </c>
      <c r="AX19" s="13">
        <v>0.135203</v>
      </c>
      <c r="AY19" s="13">
        <v>0.5671</v>
      </c>
      <c r="AZ19" s="13">
        <v>3.386</v>
      </c>
      <c r="BA19" s="13">
        <v>0.275089954485083</v>
      </c>
      <c r="BB19" s="13">
        <v>0.665760543219456</v>
      </c>
      <c r="BC19" s="13">
        <v>0.078188</v>
      </c>
    </row>
    <row r="20" spans="1:55">
      <c r="A20" s="8" t="s">
        <v>122</v>
      </c>
      <c r="B20" s="8" t="s">
        <v>123</v>
      </c>
      <c r="C20" s="8" t="s">
        <v>89</v>
      </c>
      <c r="D20" s="9">
        <v>11547</v>
      </c>
      <c r="E20" s="8" t="s">
        <v>124</v>
      </c>
      <c r="F20" s="8" t="s">
        <v>67</v>
      </c>
      <c r="G20" s="10">
        <v>31457811401.07</v>
      </c>
      <c r="H20" s="10">
        <v>5</v>
      </c>
      <c r="I20" s="9">
        <v>290763481</v>
      </c>
      <c r="J20" s="9">
        <v>407937529</v>
      </c>
      <c r="K20" s="11">
        <v>97.9597</v>
      </c>
      <c r="L20" s="12">
        <v>35417</v>
      </c>
      <c r="M20" s="12">
        <v>34130</v>
      </c>
      <c r="N20" s="9">
        <f t="shared" si="0"/>
        <v>1287</v>
      </c>
      <c r="O20" s="13">
        <v>18.69</v>
      </c>
      <c r="P20" s="13">
        <v>7.36</v>
      </c>
      <c r="Q20" s="13">
        <v>2.53</v>
      </c>
      <c r="R20" s="8" t="s">
        <v>125</v>
      </c>
      <c r="S20" s="13">
        <v>104055</v>
      </c>
      <c r="T20" s="13">
        <v>2.6</v>
      </c>
      <c r="U20" s="13">
        <v>108.5133</v>
      </c>
      <c r="V20" s="13">
        <f t="shared" si="1"/>
        <v>0.0239601965841975</v>
      </c>
      <c r="W20" s="13">
        <v>6.42</v>
      </c>
      <c r="X20" s="13">
        <f t="shared" si="2"/>
        <v>0.404984423676013</v>
      </c>
      <c r="Y20" s="13">
        <v>0.114613</v>
      </c>
      <c r="Z20" s="13">
        <v>0.201068</v>
      </c>
      <c r="AA20" s="13">
        <v>0.4358</v>
      </c>
      <c r="AB20" s="13">
        <v>1.3709</v>
      </c>
      <c r="AC20" s="13">
        <v>0.2305</v>
      </c>
      <c r="AD20" s="13">
        <v>1.8636</v>
      </c>
      <c r="AE20" s="13">
        <v>-0.075546</v>
      </c>
      <c r="AF20" s="13">
        <v>1</v>
      </c>
      <c r="AG20" s="13">
        <v>182.727024887017</v>
      </c>
      <c r="AH20" s="13">
        <f t="shared" si="3"/>
        <v>0.00547264423868509</v>
      </c>
      <c r="AI20" s="13">
        <v>10.29</v>
      </c>
      <c r="AJ20" s="13">
        <f t="shared" si="4"/>
        <v>0.0971817298347911</v>
      </c>
      <c r="AK20" s="13">
        <v>0.253812</v>
      </c>
      <c r="AL20" s="13">
        <v>0.333796</v>
      </c>
      <c r="AM20" s="13">
        <v>0.5202</v>
      </c>
      <c r="AN20" s="13">
        <v>1.488</v>
      </c>
      <c r="AO20" s="13">
        <v>0.223835118054499</v>
      </c>
      <c r="AP20" s="13">
        <v>1.52758592393969</v>
      </c>
      <c r="AQ20" s="13">
        <v>0.174981</v>
      </c>
      <c r="AR20" s="13">
        <v>4.5</v>
      </c>
      <c r="AS20" s="13">
        <v>161.583347093472</v>
      </c>
      <c r="AT20" s="13">
        <f t="shared" si="5"/>
        <v>0.0278494045391748</v>
      </c>
      <c r="AU20" s="13">
        <v>11.21</v>
      </c>
      <c r="AV20" s="13">
        <f t="shared" si="6"/>
        <v>0.4014272970562</v>
      </c>
      <c r="AW20" s="13">
        <v>0.22592</v>
      </c>
      <c r="AX20" s="13">
        <v>0.327873</v>
      </c>
      <c r="AY20" s="13">
        <v>0.5132</v>
      </c>
      <c r="AZ20" s="13">
        <v>1.4149</v>
      </c>
      <c r="BA20" s="13">
        <v>0.350382667424055</v>
      </c>
      <c r="BB20" s="13">
        <v>1.61075313036891</v>
      </c>
      <c r="BC20" s="13">
        <v>0.153546</v>
      </c>
    </row>
    <row r="21" spans="1:55">
      <c r="A21" s="8" t="s">
        <v>126</v>
      </c>
      <c r="B21" s="8" t="s">
        <v>127</v>
      </c>
      <c r="C21" s="8" t="s">
        <v>77</v>
      </c>
      <c r="D21" s="9">
        <v>30960</v>
      </c>
      <c r="E21" s="8" t="s">
        <v>128</v>
      </c>
      <c r="F21" s="8" t="s">
        <v>67</v>
      </c>
      <c r="G21" s="10">
        <v>110738391585.13</v>
      </c>
      <c r="H21" s="10">
        <v>1</v>
      </c>
      <c r="I21" s="9">
        <v>815065129</v>
      </c>
      <c r="J21" s="9">
        <v>5047157829</v>
      </c>
      <c r="K21" s="11">
        <v>100</v>
      </c>
      <c r="L21" s="12">
        <v>35515</v>
      </c>
      <c r="M21" s="12">
        <v>34107</v>
      </c>
      <c r="N21" s="9">
        <f t="shared" si="0"/>
        <v>1408</v>
      </c>
      <c r="O21" s="13">
        <v>75.05</v>
      </c>
      <c r="P21" s="13">
        <v>4.53</v>
      </c>
      <c r="Q21" s="13">
        <v>4.26</v>
      </c>
      <c r="R21" s="8" t="s">
        <v>129</v>
      </c>
      <c r="S21" s="13">
        <v>38361</v>
      </c>
      <c r="T21" s="13">
        <v>0.507216</v>
      </c>
      <c r="U21" s="13">
        <v>13.3682</v>
      </c>
      <c r="V21" s="13">
        <f t="shared" si="1"/>
        <v>0.0379419817178079</v>
      </c>
      <c r="W21" s="13">
        <v>1.02</v>
      </c>
      <c r="X21" s="13">
        <f t="shared" si="2"/>
        <v>0.497270588235294</v>
      </c>
      <c r="Y21" s="13">
        <v>0.128882</v>
      </c>
      <c r="Z21" s="13">
        <v>0.049069</v>
      </c>
      <c r="AA21" s="13">
        <v>0.9598</v>
      </c>
      <c r="AB21" s="13">
        <v>2.8608</v>
      </c>
      <c r="AC21" s="13">
        <v>0.0984</v>
      </c>
      <c r="AD21" s="13">
        <v>0.3985</v>
      </c>
      <c r="AE21" s="13">
        <v>-0.042237</v>
      </c>
      <c r="AF21" s="13">
        <v>0.7</v>
      </c>
      <c r="AG21" s="13">
        <v>19.6191874542919</v>
      </c>
      <c r="AH21" s="13">
        <f t="shared" si="3"/>
        <v>0.0356793573449887</v>
      </c>
      <c r="AI21" s="13">
        <v>1.41</v>
      </c>
      <c r="AJ21" s="13">
        <f t="shared" si="4"/>
        <v>0.49645390070922</v>
      </c>
      <c r="AK21" s="13">
        <v>0.205711</v>
      </c>
      <c r="AL21" s="13">
        <v>0.072289</v>
      </c>
      <c r="AM21" s="13">
        <v>1.1198</v>
      </c>
      <c r="AN21" s="13">
        <v>2.5427</v>
      </c>
      <c r="AO21" s="13">
        <v>0.136604871500804</v>
      </c>
      <c r="AP21" s="13">
        <v>0.488844239749857</v>
      </c>
      <c r="AQ21" s="13">
        <v>-0.002523</v>
      </c>
      <c r="AR21" s="13">
        <v>0.5646744</v>
      </c>
      <c r="AS21" s="13">
        <v>16.0573425288162</v>
      </c>
      <c r="AT21" s="13">
        <f t="shared" si="5"/>
        <v>0.0351661178670534</v>
      </c>
      <c r="AU21" s="13">
        <v>1.13</v>
      </c>
      <c r="AV21" s="13">
        <f t="shared" si="6"/>
        <v>0.49971185840708</v>
      </c>
      <c r="AW21" s="13">
        <v>0.152797</v>
      </c>
      <c r="AX21" s="13">
        <v>0.051729</v>
      </c>
      <c r="AY21" s="13">
        <v>1.1001</v>
      </c>
      <c r="AZ21" s="13">
        <v>2.7679</v>
      </c>
      <c r="BA21" s="13">
        <v>0.0934768152134289</v>
      </c>
      <c r="BB21" s="13">
        <v>0.406280014091543</v>
      </c>
      <c r="BC21" s="13">
        <v>0.159379</v>
      </c>
    </row>
    <row r="22" spans="1:55">
      <c r="A22" s="8" t="s">
        <v>130</v>
      </c>
      <c r="B22" s="8" t="s">
        <v>131</v>
      </c>
      <c r="C22" s="8" t="s">
        <v>89</v>
      </c>
      <c r="D22" s="9">
        <v>99100</v>
      </c>
      <c r="E22" s="8" t="s">
        <v>132</v>
      </c>
      <c r="F22" s="8" t="s">
        <v>67</v>
      </c>
      <c r="G22" s="10">
        <v>430745273396</v>
      </c>
      <c r="H22" s="10">
        <v>26</v>
      </c>
      <c r="I22" s="9">
        <v>31924584014</v>
      </c>
      <c r="J22" s="9">
        <v>37413880464</v>
      </c>
      <c r="K22" s="11">
        <v>98.1081</v>
      </c>
      <c r="L22" s="12">
        <v>36903</v>
      </c>
      <c r="M22" s="12">
        <v>34068</v>
      </c>
      <c r="N22" s="9">
        <f t="shared" si="0"/>
        <v>2835</v>
      </c>
      <c r="O22" s="13">
        <v>10.86</v>
      </c>
      <c r="P22" s="13">
        <v>7.23</v>
      </c>
      <c r="Q22" s="13">
        <v>2.2</v>
      </c>
      <c r="R22" s="8" t="s">
        <v>133</v>
      </c>
      <c r="S22" s="13">
        <v>1016278</v>
      </c>
      <c r="T22" s="13">
        <v>0.05</v>
      </c>
      <c r="U22" s="13">
        <v>4.1845</v>
      </c>
      <c r="V22" s="13">
        <f t="shared" si="1"/>
        <v>0.0119488588839766</v>
      </c>
      <c r="W22" s="13">
        <v>0.14</v>
      </c>
      <c r="X22" s="13">
        <f t="shared" si="2"/>
        <v>0.357142857142857</v>
      </c>
      <c r="Y22" s="13">
        <v>0.040579</v>
      </c>
      <c r="Z22" s="13">
        <v>0.020896</v>
      </c>
      <c r="AA22" s="13">
        <v>0.4672</v>
      </c>
      <c r="AB22" s="13">
        <v>3.2366</v>
      </c>
      <c r="AC22" s="13">
        <v>0.2406</v>
      </c>
      <c r="AD22" s="13">
        <v>0.6742</v>
      </c>
      <c r="AE22" s="13">
        <v>0.136569</v>
      </c>
      <c r="AF22" s="13">
        <v>0.061</v>
      </c>
      <c r="AG22" s="13">
        <v>4.01912401943557</v>
      </c>
      <c r="AH22" s="13">
        <f t="shared" si="3"/>
        <v>0.015177436601861</v>
      </c>
      <c r="AI22" s="13">
        <v>0.19</v>
      </c>
      <c r="AJ22" s="13">
        <f t="shared" si="4"/>
        <v>0.321052631578947</v>
      </c>
      <c r="AK22" s="13">
        <v>0.054096</v>
      </c>
      <c r="AL22" s="13">
        <v>-0.009737</v>
      </c>
      <c r="AM22" s="13">
        <v>0.4098</v>
      </c>
      <c r="AN22" s="13">
        <v>3.1193</v>
      </c>
      <c r="AO22" s="13">
        <v>0.241135965380583</v>
      </c>
      <c r="AP22" s="13">
        <v>1.00618382196252</v>
      </c>
      <c r="AQ22" s="13">
        <v>-0.192829</v>
      </c>
      <c r="AR22" s="13">
        <v>0.03</v>
      </c>
      <c r="AS22" s="13">
        <v>4.03305095144711</v>
      </c>
      <c r="AT22" s="13">
        <f t="shared" si="5"/>
        <v>0.00743853731608216</v>
      </c>
      <c r="AU22" s="13">
        <v>0.06</v>
      </c>
      <c r="AV22" s="13">
        <f t="shared" si="6"/>
        <v>0.5</v>
      </c>
      <c r="AW22" s="13">
        <v>0.019189</v>
      </c>
      <c r="AX22" s="13">
        <v>0.002119</v>
      </c>
      <c r="AY22" s="13">
        <v>0.4157</v>
      </c>
      <c r="AZ22" s="13">
        <v>3.1628</v>
      </c>
      <c r="BA22" s="13">
        <v>0.219440075149205</v>
      </c>
      <c r="BB22" s="13">
        <v>0.893889741316973</v>
      </c>
      <c r="BC22" s="13">
        <v>-0.021693</v>
      </c>
    </row>
    <row r="23" spans="1:55">
      <c r="A23" s="8" t="s">
        <v>134</v>
      </c>
      <c r="B23" s="8" t="s">
        <v>135</v>
      </c>
      <c r="C23" s="8" t="s">
        <v>77</v>
      </c>
      <c r="D23" s="9">
        <v>24821</v>
      </c>
      <c r="E23" s="8" t="s">
        <v>136</v>
      </c>
      <c r="F23" s="8" t="s">
        <v>67</v>
      </c>
      <c r="G23" s="10">
        <v>74111646496.64</v>
      </c>
      <c r="H23" s="10">
        <v>9</v>
      </c>
      <c r="I23" s="9">
        <v>1252296139</v>
      </c>
      <c r="J23" s="9">
        <v>2781149071</v>
      </c>
      <c r="K23" s="11">
        <v>99.6971</v>
      </c>
      <c r="L23" s="12">
        <v>35607</v>
      </c>
      <c r="M23" s="12">
        <v>35599</v>
      </c>
      <c r="N23" s="9">
        <f t="shared" si="0"/>
        <v>8</v>
      </c>
      <c r="O23" s="13">
        <v>43.77</v>
      </c>
      <c r="P23" s="13">
        <v>10.9</v>
      </c>
      <c r="Q23" s="13">
        <v>3.35</v>
      </c>
      <c r="R23" s="8" t="s">
        <v>137</v>
      </c>
      <c r="S23" s="13">
        <v>181993</v>
      </c>
      <c r="T23" s="13">
        <v>0.12</v>
      </c>
      <c r="U23" s="13">
        <v>25.1165</v>
      </c>
      <c r="V23" s="13">
        <f t="shared" si="1"/>
        <v>0.00477773575139848</v>
      </c>
      <c r="W23" s="13">
        <v>0.3692</v>
      </c>
      <c r="X23" s="13">
        <f t="shared" si="2"/>
        <v>0.325027085590466</v>
      </c>
      <c r="Y23" s="13">
        <v>0.050454</v>
      </c>
      <c r="Z23" s="13">
        <v>0.023682</v>
      </c>
      <c r="AA23" s="13">
        <v>0.5586</v>
      </c>
      <c r="AB23" s="13">
        <v>3.814</v>
      </c>
      <c r="AC23" s="13">
        <v>-0.0013</v>
      </c>
      <c r="AD23" s="13">
        <v>0.3336</v>
      </c>
      <c r="AE23" s="13">
        <v>0.072318</v>
      </c>
      <c r="AF23" s="13">
        <v>0.1</v>
      </c>
      <c r="AG23" s="13">
        <v>28.4123653527604</v>
      </c>
      <c r="AH23" s="13">
        <f t="shared" si="3"/>
        <v>0.00351959433008926</v>
      </c>
      <c r="AI23" s="13">
        <v>0.189</v>
      </c>
      <c r="AJ23" s="13">
        <f t="shared" si="4"/>
        <v>0.529100529100529</v>
      </c>
      <c r="AK23" s="13">
        <v>0.032837</v>
      </c>
      <c r="AL23" s="13">
        <v>0.013897</v>
      </c>
      <c r="AM23" s="13">
        <v>0.4886</v>
      </c>
      <c r="AN23" s="13">
        <v>4.8363</v>
      </c>
      <c r="AO23" s="13">
        <v>0.777673781022733</v>
      </c>
      <c r="AP23" s="13">
        <v>0.415382347850853</v>
      </c>
      <c r="AQ23" s="13">
        <v>0.151691</v>
      </c>
      <c r="AR23" s="13">
        <v>0.1</v>
      </c>
      <c r="AS23" s="13">
        <v>24.9017209051796</v>
      </c>
      <c r="AT23" s="13">
        <f t="shared" si="5"/>
        <v>0.004015786715335</v>
      </c>
      <c r="AU23" s="13">
        <v>0.3105</v>
      </c>
      <c r="AV23" s="13">
        <f t="shared" si="6"/>
        <v>0.322061191626409</v>
      </c>
      <c r="AW23" s="13">
        <v>0.048262</v>
      </c>
      <c r="AX23" s="13">
        <v>0.021363</v>
      </c>
      <c r="AY23" s="13">
        <v>0.4942</v>
      </c>
      <c r="AZ23" s="13">
        <v>4.5712</v>
      </c>
      <c r="BA23" s="13">
        <v>-0.136835183215124</v>
      </c>
      <c r="BB23" s="13">
        <v>0.312391347227924</v>
      </c>
      <c r="BC23" s="13">
        <v>0.070133</v>
      </c>
    </row>
    <row r="24" spans="1:55">
      <c r="A24" s="8" t="s">
        <v>138</v>
      </c>
      <c r="B24" s="8" t="s">
        <v>139</v>
      </c>
      <c r="C24" s="8" t="s">
        <v>57</v>
      </c>
      <c r="D24" s="9">
        <v>13650</v>
      </c>
      <c r="E24" s="8" t="s">
        <v>58</v>
      </c>
      <c r="F24" s="8" t="s">
        <v>59</v>
      </c>
      <c r="G24" s="10">
        <v>953436306424.8</v>
      </c>
      <c r="H24" s="10">
        <v>4</v>
      </c>
      <c r="I24" s="9">
        <v>2844372240</v>
      </c>
      <c r="J24" s="9">
        <v>7605845511</v>
      </c>
      <c r="K24" s="11">
        <v>77.6252</v>
      </c>
      <c r="L24" s="12">
        <v>35592</v>
      </c>
      <c r="M24" s="12">
        <v>34355</v>
      </c>
      <c r="N24" s="9">
        <f t="shared" si="0"/>
        <v>1237</v>
      </c>
      <c r="O24" s="13">
        <v>22.36</v>
      </c>
      <c r="P24" s="13">
        <v>16.47</v>
      </c>
      <c r="Q24" s="13">
        <v>14.7275</v>
      </c>
      <c r="R24" s="8"/>
      <c r="S24" s="13">
        <v>143945</v>
      </c>
      <c r="T24" s="13">
        <v>0.4</v>
      </c>
      <c r="U24" s="13">
        <v>15.0352</v>
      </c>
      <c r="V24" s="13">
        <f t="shared" si="1"/>
        <v>0.0266042353942748</v>
      </c>
      <c r="W24" s="13">
        <v>1.15</v>
      </c>
      <c r="X24" s="13">
        <f t="shared" si="2"/>
        <v>0.347826086956522</v>
      </c>
      <c r="Y24" s="13">
        <v>0.068028</v>
      </c>
      <c r="Z24" s="13">
        <v>0.387689</v>
      </c>
      <c r="AA24" s="13">
        <v>0.0378</v>
      </c>
      <c r="AB24" s="13">
        <v>5.0859</v>
      </c>
      <c r="AC24" s="13">
        <v>0.3666</v>
      </c>
      <c r="AD24" s="13"/>
      <c r="AE24" s="13">
        <v>0.167353</v>
      </c>
      <c r="AF24" s="13">
        <v>0.35</v>
      </c>
      <c r="AG24" s="13">
        <v>17.3123315242899</v>
      </c>
      <c r="AH24" s="13">
        <f t="shared" si="3"/>
        <v>0.0202168032369838</v>
      </c>
      <c r="AI24" s="13">
        <v>1.02</v>
      </c>
      <c r="AJ24" s="13">
        <f t="shared" si="4"/>
        <v>0.343137254901961</v>
      </c>
      <c r="AK24" s="13">
        <v>0.069932</v>
      </c>
      <c r="AL24" s="13">
        <v>0.354051</v>
      </c>
      <c r="AM24" s="13">
        <v>0.0436</v>
      </c>
      <c r="AN24" s="13">
        <v>5.0849</v>
      </c>
      <c r="AO24" s="13">
        <v>1.9903604262559</v>
      </c>
      <c r="AP24" s="13"/>
      <c r="AQ24" s="13">
        <v>-0.266218</v>
      </c>
      <c r="AR24" s="13">
        <v>0.3</v>
      </c>
      <c r="AS24" s="13">
        <v>15.8445166323028</v>
      </c>
      <c r="AT24" s="13">
        <f t="shared" si="5"/>
        <v>0.0189339950824615</v>
      </c>
      <c r="AU24" s="13">
        <v>0.83</v>
      </c>
      <c r="AV24" s="13">
        <f t="shared" si="6"/>
        <v>0.36144578313253</v>
      </c>
      <c r="AW24" s="13">
        <v>0.054543</v>
      </c>
      <c r="AX24" s="13">
        <v>0.337471</v>
      </c>
      <c r="AY24" s="13">
        <v>0.0359</v>
      </c>
      <c r="AZ24" s="13">
        <v>5.0786</v>
      </c>
      <c r="BA24" s="13">
        <v>-0.382796328081211</v>
      </c>
      <c r="BB24" s="13"/>
      <c r="BC24" s="13">
        <v>-0.072914</v>
      </c>
    </row>
    <row r="25" spans="1:55">
      <c r="A25" s="8" t="s">
        <v>140</v>
      </c>
      <c r="B25" s="8" t="s">
        <v>141</v>
      </c>
      <c r="C25" s="8" t="s">
        <v>77</v>
      </c>
      <c r="D25" s="9">
        <v>15790</v>
      </c>
      <c r="E25" s="8" t="s">
        <v>132</v>
      </c>
      <c r="F25" s="8" t="s">
        <v>67</v>
      </c>
      <c r="G25" s="10">
        <v>36776751805.07</v>
      </c>
      <c r="H25" s="10">
        <v>5</v>
      </c>
      <c r="I25" s="9">
        <v>937569604</v>
      </c>
      <c r="J25" s="9">
        <v>1702236042</v>
      </c>
      <c r="K25" s="11">
        <v>99.2523</v>
      </c>
      <c r="L25" s="12">
        <v>35587</v>
      </c>
      <c r="M25" s="12">
        <v>35580</v>
      </c>
      <c r="N25" s="9">
        <f t="shared" si="0"/>
        <v>7</v>
      </c>
      <c r="O25" s="13">
        <v>37.58</v>
      </c>
      <c r="P25" s="13">
        <v>9.41</v>
      </c>
      <c r="Q25" s="13">
        <v>6.64</v>
      </c>
      <c r="R25" s="8" t="s">
        <v>142</v>
      </c>
      <c r="S25" s="13">
        <v>72000</v>
      </c>
      <c r="T25" s="13">
        <v>0.865</v>
      </c>
      <c r="U25" s="13">
        <v>28.9674</v>
      </c>
      <c r="V25" s="13">
        <f t="shared" si="1"/>
        <v>0.0298611542630681</v>
      </c>
      <c r="W25" s="13">
        <v>2.159</v>
      </c>
      <c r="X25" s="13">
        <f t="shared" si="2"/>
        <v>0.40064844835572</v>
      </c>
      <c r="Y25" s="13">
        <v>0.148739</v>
      </c>
      <c r="Z25" s="13">
        <v>0.1443</v>
      </c>
      <c r="AA25" s="13">
        <v>0.7848</v>
      </c>
      <c r="AB25" s="13">
        <v>1.3418</v>
      </c>
      <c r="AC25" s="13">
        <v>0.1988</v>
      </c>
      <c r="AD25" s="13">
        <v>0.7416</v>
      </c>
      <c r="AE25" s="13">
        <v>0.151398</v>
      </c>
      <c r="AF25" s="13">
        <v>0.655</v>
      </c>
      <c r="AG25" s="13">
        <v>29.1375145723272</v>
      </c>
      <c r="AH25" s="13">
        <f t="shared" si="3"/>
        <v>0.0224796112370571</v>
      </c>
      <c r="AI25" s="13">
        <v>1.856</v>
      </c>
      <c r="AJ25" s="13">
        <f t="shared" si="4"/>
        <v>0.352909482758621</v>
      </c>
      <c r="AK25" s="13">
        <v>0.157211</v>
      </c>
      <c r="AL25" s="13">
        <v>0.157703</v>
      </c>
      <c r="AM25" s="13">
        <v>0.7225</v>
      </c>
      <c r="AN25" s="13">
        <v>1.3829</v>
      </c>
      <c r="AO25" s="13">
        <v>0.183821499504699</v>
      </c>
      <c r="AP25" s="13">
        <v>0.888846104292188</v>
      </c>
      <c r="AQ25" s="13">
        <v>-0.054852</v>
      </c>
      <c r="AR25" s="13">
        <v>0.835</v>
      </c>
      <c r="AS25" s="13">
        <v>26.5969981230725</v>
      </c>
      <c r="AT25" s="13">
        <f t="shared" si="5"/>
        <v>0.0313945203942264</v>
      </c>
      <c r="AU25" s="13">
        <v>2.086</v>
      </c>
      <c r="AV25" s="13">
        <f t="shared" si="6"/>
        <v>0.400287631831256</v>
      </c>
      <c r="AW25" s="13">
        <v>0.159022</v>
      </c>
      <c r="AX25" s="13">
        <v>0.158509</v>
      </c>
      <c r="AY25" s="13">
        <v>0.7568</v>
      </c>
      <c r="AZ25" s="13">
        <v>1.3372</v>
      </c>
      <c r="BA25" s="13">
        <v>0.211112526627072</v>
      </c>
      <c r="BB25" s="13">
        <v>1.10157215292114</v>
      </c>
      <c r="BC25" s="13">
        <v>0.112688</v>
      </c>
    </row>
    <row r="26" spans="1:55">
      <c r="A26" s="8" t="s">
        <v>143</v>
      </c>
      <c r="B26" s="8" t="s">
        <v>144</v>
      </c>
      <c r="C26" s="8" t="s">
        <v>77</v>
      </c>
      <c r="D26" s="9">
        <v>6127</v>
      </c>
      <c r="E26" s="8" t="s">
        <v>94</v>
      </c>
      <c r="F26" s="8" t="s">
        <v>67</v>
      </c>
      <c r="G26" s="10">
        <v>50973854563.78</v>
      </c>
      <c r="H26" s="10">
        <v>4</v>
      </c>
      <c r="I26" s="9">
        <v>3127255424</v>
      </c>
      <c r="J26" s="9">
        <v>5291572541</v>
      </c>
      <c r="K26" s="11">
        <v>99.9994</v>
      </c>
      <c r="L26" s="12">
        <v>35677</v>
      </c>
      <c r="M26" s="12">
        <v>35667</v>
      </c>
      <c r="N26" s="9">
        <f t="shared" si="0"/>
        <v>10</v>
      </c>
      <c r="O26" s="13">
        <v>12.87</v>
      </c>
      <c r="P26" s="13">
        <v>8.1</v>
      </c>
      <c r="Q26" s="13">
        <v>7.68</v>
      </c>
      <c r="R26" s="8" t="s">
        <v>145</v>
      </c>
      <c r="S26" s="13">
        <v>190039</v>
      </c>
      <c r="T26" s="13"/>
      <c r="U26" s="13">
        <v>16.8628</v>
      </c>
      <c r="V26" s="13">
        <f t="shared" si="1"/>
        <v>0</v>
      </c>
      <c r="W26" s="13">
        <v>0.8812</v>
      </c>
      <c r="X26" s="13">
        <f t="shared" si="2"/>
        <v>0</v>
      </c>
      <c r="Y26" s="13">
        <v>0.136187</v>
      </c>
      <c r="Z26" s="13">
        <v>0.324694</v>
      </c>
      <c r="AA26" s="13">
        <v>0.3283</v>
      </c>
      <c r="AB26" s="13">
        <v>1.3462</v>
      </c>
      <c r="AC26" s="13">
        <v>0.5167</v>
      </c>
      <c r="AD26" s="13">
        <v>5.2838</v>
      </c>
      <c r="AE26" s="13">
        <v>-0.298648</v>
      </c>
      <c r="AF26" s="13"/>
      <c r="AG26" s="13">
        <v>29.4388774405922</v>
      </c>
      <c r="AH26" s="13">
        <f t="shared" si="3"/>
        <v>0</v>
      </c>
      <c r="AI26" s="13">
        <v>2.9311</v>
      </c>
      <c r="AJ26" s="13">
        <f t="shared" si="4"/>
        <v>0</v>
      </c>
      <c r="AK26" s="13">
        <v>0.901669</v>
      </c>
      <c r="AL26" s="13">
        <v>0.639981</v>
      </c>
      <c r="AM26" s="13">
        <v>0.9144</v>
      </c>
      <c r="AN26" s="13">
        <v>1.9479</v>
      </c>
      <c r="AO26" s="13">
        <v>0.568625632251338</v>
      </c>
      <c r="AP26" s="13">
        <v>2.85632610597323</v>
      </c>
      <c r="AQ26" s="13">
        <v>1.080604</v>
      </c>
      <c r="AR26" s="13"/>
      <c r="AS26" s="13">
        <v>20.1945910283905</v>
      </c>
      <c r="AT26" s="13">
        <f t="shared" si="5"/>
        <v>0</v>
      </c>
      <c r="AU26" s="13">
        <v>1.4881</v>
      </c>
      <c r="AV26" s="13">
        <f t="shared" si="6"/>
        <v>0</v>
      </c>
      <c r="AW26" s="13">
        <v>0.277208</v>
      </c>
      <c r="AX26" s="13">
        <v>0.434036</v>
      </c>
      <c r="AY26" s="13">
        <v>0.4883</v>
      </c>
      <c r="AZ26" s="13">
        <v>1.5481</v>
      </c>
      <c r="BA26" s="13">
        <v>0.560957261869194</v>
      </c>
      <c r="BB26" s="13">
        <v>2.98891549376255</v>
      </c>
      <c r="BC26" s="13">
        <v>-0.29802</v>
      </c>
    </row>
    <row r="27" spans="1:55">
      <c r="A27" s="8" t="s">
        <v>146</v>
      </c>
      <c r="B27" s="8" t="s">
        <v>147</v>
      </c>
      <c r="C27" s="8" t="s">
        <v>77</v>
      </c>
      <c r="D27" s="9">
        <v>10224</v>
      </c>
      <c r="E27" s="8" t="s">
        <v>100</v>
      </c>
      <c r="F27" s="8" t="s">
        <v>67</v>
      </c>
      <c r="G27" s="10">
        <v>47754005505.86</v>
      </c>
      <c r="H27" s="10">
        <v>7</v>
      </c>
      <c r="I27" s="9">
        <v>2007812103</v>
      </c>
      <c r="J27" s="9">
        <v>3467957405</v>
      </c>
      <c r="K27" s="11">
        <v>99.999</v>
      </c>
      <c r="L27" s="12">
        <v>35893</v>
      </c>
      <c r="M27" s="12">
        <v>35874</v>
      </c>
      <c r="N27" s="9">
        <f t="shared" si="0"/>
        <v>19</v>
      </c>
      <c r="O27" s="13">
        <v>29.1</v>
      </c>
      <c r="P27" s="13">
        <v>13</v>
      </c>
      <c r="Q27" s="13">
        <v>7.75</v>
      </c>
      <c r="R27" s="8" t="s">
        <v>148</v>
      </c>
      <c r="S27" s="13">
        <v>79073</v>
      </c>
      <c r="T27" s="13">
        <v>0.18</v>
      </c>
      <c r="U27" s="13">
        <v>13.5774</v>
      </c>
      <c r="V27" s="13">
        <f t="shared" si="1"/>
        <v>0.0132573246718812</v>
      </c>
      <c r="W27" s="13">
        <v>1.27</v>
      </c>
      <c r="X27" s="13">
        <f t="shared" si="2"/>
        <v>0.141732283464567</v>
      </c>
      <c r="Y27" s="13">
        <v>0.163245</v>
      </c>
      <c r="Z27" s="13">
        <v>0.093644</v>
      </c>
      <c r="AA27" s="13">
        <v>1.341</v>
      </c>
      <c r="AB27" s="13">
        <v>1.5025</v>
      </c>
      <c r="AC27" s="13">
        <v>0.1276</v>
      </c>
      <c r="AD27" s="13">
        <v>1.164</v>
      </c>
      <c r="AE27" s="13">
        <v>0.27612</v>
      </c>
      <c r="AF27" s="13">
        <v>0.16</v>
      </c>
      <c r="AG27" s="13">
        <v>11.5504799488269</v>
      </c>
      <c r="AH27" s="13">
        <f t="shared" si="3"/>
        <v>0.013852238236754</v>
      </c>
      <c r="AI27" s="13">
        <v>1.32</v>
      </c>
      <c r="AJ27" s="13">
        <f t="shared" si="4"/>
        <v>0.121212121212121</v>
      </c>
      <c r="AK27" s="13">
        <v>0.225376</v>
      </c>
      <c r="AL27" s="13">
        <v>0.108702</v>
      </c>
      <c r="AM27" s="13">
        <v>1.2605</v>
      </c>
      <c r="AN27" s="13">
        <v>1.8967</v>
      </c>
      <c r="AO27" s="13">
        <v>0.142675140567538</v>
      </c>
      <c r="AP27" s="13">
        <v>0.336578746168665</v>
      </c>
      <c r="AQ27" s="13">
        <v>0.16076</v>
      </c>
      <c r="AR27" s="13">
        <v>0.23</v>
      </c>
      <c r="AS27" s="13">
        <v>13.45803356255</v>
      </c>
      <c r="AT27" s="13">
        <f t="shared" si="5"/>
        <v>0.0170901639478762</v>
      </c>
      <c r="AU27" s="13">
        <v>1.14</v>
      </c>
      <c r="AV27" s="13">
        <f t="shared" si="6"/>
        <v>0.201754385964912</v>
      </c>
      <c r="AW27" s="13">
        <v>0.164549</v>
      </c>
      <c r="AX27" s="13">
        <v>0.110584</v>
      </c>
      <c r="AY27" s="13">
        <v>1.0889</v>
      </c>
      <c r="AZ27" s="13">
        <v>1.63</v>
      </c>
      <c r="BA27" s="13">
        <v>0.137594561453472</v>
      </c>
      <c r="BB27" s="13">
        <v>0.864505356626278</v>
      </c>
      <c r="BC27" s="13">
        <v>-0.11956</v>
      </c>
    </row>
    <row r="28" spans="1:55">
      <c r="A28" s="8" t="s">
        <v>149</v>
      </c>
      <c r="B28" s="8" t="s">
        <v>150</v>
      </c>
      <c r="C28" s="8" t="s">
        <v>89</v>
      </c>
      <c r="D28" s="9">
        <v>25132</v>
      </c>
      <c r="E28" s="8" t="s">
        <v>104</v>
      </c>
      <c r="F28" s="8" t="s">
        <v>67</v>
      </c>
      <c r="G28" s="10">
        <v>181073423202.77</v>
      </c>
      <c r="H28" s="10">
        <v>0</v>
      </c>
      <c r="I28" s="9">
        <v>1743393215</v>
      </c>
      <c r="J28" s="9">
        <v>3881608005</v>
      </c>
      <c r="K28" s="11">
        <v>99.9958</v>
      </c>
      <c r="L28" s="12">
        <v>35912</v>
      </c>
      <c r="M28" s="12">
        <v>35906</v>
      </c>
      <c r="N28" s="9">
        <f t="shared" si="0"/>
        <v>6</v>
      </c>
      <c r="O28" s="13">
        <v>34.43</v>
      </c>
      <c r="P28" s="13">
        <v>20.6487</v>
      </c>
      <c r="Q28" s="13">
        <v>2.85</v>
      </c>
      <c r="R28" s="8" t="s">
        <v>151</v>
      </c>
      <c r="S28" s="13">
        <v>600000</v>
      </c>
      <c r="T28" s="13">
        <v>3.169</v>
      </c>
      <c r="U28" s="13">
        <v>140.64</v>
      </c>
      <c r="V28" s="13">
        <f t="shared" si="1"/>
        <v>0.0225327076222981</v>
      </c>
      <c r="W28" s="13">
        <v>8.2062</v>
      </c>
      <c r="X28" s="13">
        <f t="shared" si="2"/>
        <v>0.386171431356779</v>
      </c>
      <c r="Y28" s="13">
        <v>0.242374</v>
      </c>
      <c r="Z28" s="13">
        <v>0.372228</v>
      </c>
      <c r="AA28" s="13">
        <v>0.5043</v>
      </c>
      <c r="AB28" s="13">
        <v>1.3456</v>
      </c>
      <c r="AC28" s="13">
        <v>0.3806</v>
      </c>
      <c r="AD28" s="13">
        <v>2.4969</v>
      </c>
      <c r="AE28" s="13">
        <v>0.070889</v>
      </c>
      <c r="AF28" s="13">
        <v>3.782</v>
      </c>
      <c r="AG28" s="13">
        <v>172.03748577851</v>
      </c>
      <c r="AH28" s="13">
        <f t="shared" si="3"/>
        <v>0.021983580978794</v>
      </c>
      <c r="AI28" s="13">
        <v>6.876</v>
      </c>
      <c r="AJ28" s="13">
        <f t="shared" si="4"/>
        <v>0.550029086678301</v>
      </c>
      <c r="AK28" s="13">
        <v>0.250507</v>
      </c>
      <c r="AL28" s="13">
        <v>0.378142</v>
      </c>
      <c r="AM28" s="13">
        <v>0.5131</v>
      </c>
      <c r="AN28" s="13">
        <v>1.3531</v>
      </c>
      <c r="AO28" s="13">
        <v>0.330290458615667</v>
      </c>
      <c r="AP28" s="13">
        <v>2.58614529612419</v>
      </c>
      <c r="AQ28" s="13">
        <v>0.117198</v>
      </c>
      <c r="AR28" s="13">
        <v>4.67</v>
      </c>
      <c r="AS28" s="13">
        <v>173.287446876737</v>
      </c>
      <c r="AT28" s="13">
        <f t="shared" si="5"/>
        <v>0.0269494420061591</v>
      </c>
      <c r="AU28" s="13">
        <v>7.783</v>
      </c>
      <c r="AV28" s="13">
        <f t="shared" si="6"/>
        <v>0.600025697031993</v>
      </c>
      <c r="AW28" s="13">
        <v>0.248051</v>
      </c>
      <c r="AX28" s="13">
        <v>0.378528</v>
      </c>
      <c r="AY28" s="13">
        <v>0.5235</v>
      </c>
      <c r="AZ28" s="13">
        <v>1.3061</v>
      </c>
      <c r="BA28" s="13">
        <v>0.501278294787969</v>
      </c>
      <c r="BB28" s="13">
        <v>3.53259512289411</v>
      </c>
      <c r="BC28" s="13">
        <v>0.125775</v>
      </c>
    </row>
    <row r="29" spans="1:55">
      <c r="A29" s="8" t="s">
        <v>152</v>
      </c>
      <c r="B29" s="8" t="s">
        <v>153</v>
      </c>
      <c r="C29" s="8" t="s">
        <v>82</v>
      </c>
      <c r="D29" s="9">
        <v>41327</v>
      </c>
      <c r="E29" s="8" t="s">
        <v>104</v>
      </c>
      <c r="F29" s="8" t="s">
        <v>67</v>
      </c>
      <c r="G29" s="10">
        <v>116870684279.36</v>
      </c>
      <c r="H29" s="10">
        <v>4</v>
      </c>
      <c r="I29" s="9">
        <v>2040459571</v>
      </c>
      <c r="J29" s="9">
        <v>4502576702</v>
      </c>
      <c r="K29" s="11">
        <v>99.9271</v>
      </c>
      <c r="L29" s="12">
        <v>35865</v>
      </c>
      <c r="M29" s="12">
        <v>35858</v>
      </c>
      <c r="N29" s="9">
        <f t="shared" si="0"/>
        <v>7</v>
      </c>
      <c r="O29" s="13">
        <v>29.52</v>
      </c>
      <c r="P29" s="13">
        <v>15.46</v>
      </c>
      <c r="Q29" s="13">
        <v>9.64</v>
      </c>
      <c r="R29" s="8" t="s">
        <v>154</v>
      </c>
      <c r="S29" s="13">
        <v>197000</v>
      </c>
      <c r="T29" s="13">
        <v>0.024125</v>
      </c>
      <c r="U29" s="13">
        <v>9.4492</v>
      </c>
      <c r="V29" s="13">
        <f t="shared" si="1"/>
        <v>0.00255312619057698</v>
      </c>
      <c r="W29" s="13">
        <v>0.09</v>
      </c>
      <c r="X29" s="13">
        <f t="shared" si="2"/>
        <v>0.268055555555556</v>
      </c>
      <c r="Y29" s="13">
        <v>0.018781</v>
      </c>
      <c r="Z29" s="13">
        <v>0.001956</v>
      </c>
      <c r="AA29" s="13">
        <v>0.8328</v>
      </c>
      <c r="AB29" s="13">
        <v>4.9079</v>
      </c>
      <c r="AC29" s="13">
        <v>0.0886</v>
      </c>
      <c r="AD29" s="13">
        <v>0.1878</v>
      </c>
      <c r="AE29" s="13">
        <v>-0.272685</v>
      </c>
      <c r="AF29" s="13"/>
      <c r="AG29" s="13">
        <v>15.5351129576408</v>
      </c>
      <c r="AH29" s="13">
        <f t="shared" si="3"/>
        <v>0</v>
      </c>
      <c r="AI29" s="13">
        <v>-0.36</v>
      </c>
      <c r="AJ29" s="13">
        <f t="shared" si="4"/>
        <v>0</v>
      </c>
      <c r="AK29" s="13">
        <v>-0.046529</v>
      </c>
      <c r="AL29" s="13">
        <v>-0.013421</v>
      </c>
      <c r="AM29" s="13">
        <v>1.0505</v>
      </c>
      <c r="AN29" s="13">
        <v>4.2912</v>
      </c>
      <c r="AO29" s="13">
        <v>0.0652844388362384</v>
      </c>
      <c r="AP29" s="13">
        <v>0.235896661770256</v>
      </c>
      <c r="AQ29" s="13">
        <v>0.120749</v>
      </c>
      <c r="AR29" s="13"/>
      <c r="AS29" s="13">
        <v>11.9823096131043</v>
      </c>
      <c r="AT29" s="13">
        <f t="shared" si="5"/>
        <v>0</v>
      </c>
      <c r="AU29" s="13">
        <v>0.04</v>
      </c>
      <c r="AV29" s="13">
        <f t="shared" si="6"/>
        <v>0</v>
      </c>
      <c r="AW29" s="13">
        <v>0.009226</v>
      </c>
      <c r="AX29" s="13">
        <v>-0.006742</v>
      </c>
      <c r="AY29" s="13">
        <v>1.0643</v>
      </c>
      <c r="AZ29" s="13">
        <v>4.9295</v>
      </c>
      <c r="BA29" s="13">
        <v>0.098120656409783</v>
      </c>
      <c r="BB29" s="13">
        <v>0.212417751391838</v>
      </c>
      <c r="BC29" s="13">
        <v>0.001382</v>
      </c>
    </row>
    <row r="30" spans="1:55">
      <c r="A30" s="8" t="s">
        <v>155</v>
      </c>
      <c r="B30" s="8" t="s">
        <v>156</v>
      </c>
      <c r="C30" s="8" t="s">
        <v>157</v>
      </c>
      <c r="D30" s="9">
        <v>44529</v>
      </c>
      <c r="E30" s="8" t="s">
        <v>158</v>
      </c>
      <c r="F30" s="8" t="s">
        <v>67</v>
      </c>
      <c r="G30" s="10">
        <v>40642770592.82</v>
      </c>
      <c r="H30" s="10">
        <v>6</v>
      </c>
      <c r="I30" s="9">
        <v>1027484803</v>
      </c>
      <c r="J30" s="9">
        <v>3464661213</v>
      </c>
      <c r="K30" s="11">
        <v>99.987</v>
      </c>
      <c r="L30" s="12">
        <v>36139</v>
      </c>
      <c r="M30" s="12">
        <v>36083</v>
      </c>
      <c r="N30" s="9">
        <f t="shared" si="0"/>
        <v>56</v>
      </c>
      <c r="O30" s="13">
        <v>70.33</v>
      </c>
      <c r="P30" s="13">
        <v>2.49</v>
      </c>
      <c r="Q30" s="13">
        <v>2.21</v>
      </c>
      <c r="R30" s="8" t="s">
        <v>159</v>
      </c>
      <c r="S30" s="13">
        <v>144552</v>
      </c>
      <c r="T30" s="13">
        <v>0.75</v>
      </c>
      <c r="U30" s="13">
        <v>25.9625</v>
      </c>
      <c r="V30" s="13">
        <f t="shared" si="1"/>
        <v>0.0288878189696678</v>
      </c>
      <c r="W30" s="13">
        <v>1.44</v>
      </c>
      <c r="X30" s="13">
        <f t="shared" si="2"/>
        <v>0.520833333333333</v>
      </c>
      <c r="Y30" s="13">
        <v>0.237793</v>
      </c>
      <c r="Z30" s="13">
        <v>0.08465</v>
      </c>
      <c r="AA30" s="13">
        <v>1.6148</v>
      </c>
      <c r="AB30" s="13">
        <v>1.7626</v>
      </c>
      <c r="AC30" s="13">
        <v>0.1413</v>
      </c>
      <c r="AD30" s="13">
        <v>0.5496</v>
      </c>
      <c r="AE30" s="13">
        <v>-0.006358</v>
      </c>
      <c r="AF30" s="13">
        <v>1</v>
      </c>
      <c r="AG30" s="13">
        <v>28.0825727129227</v>
      </c>
      <c r="AH30" s="13">
        <f t="shared" si="3"/>
        <v>0.0356092730613614</v>
      </c>
      <c r="AI30" s="13">
        <v>1.6223</v>
      </c>
      <c r="AJ30" s="13">
        <f t="shared" si="4"/>
        <v>0.616408802317697</v>
      </c>
      <c r="AK30" s="13">
        <v>0.25171</v>
      </c>
      <c r="AL30" s="13">
        <v>0.091139</v>
      </c>
      <c r="AM30" s="13">
        <v>1.7824</v>
      </c>
      <c r="AN30" s="13">
        <v>1.5761</v>
      </c>
      <c r="AO30" s="13">
        <v>0.120602539689165</v>
      </c>
      <c r="AP30" s="13">
        <v>0.507552277357434</v>
      </c>
      <c r="AQ30" s="13">
        <v>-0.060885</v>
      </c>
      <c r="AR30" s="13">
        <v>0.7</v>
      </c>
      <c r="AS30" s="13">
        <v>25.74310037637</v>
      </c>
      <c r="AT30" s="13">
        <f t="shared" si="5"/>
        <v>0.0271917519555081</v>
      </c>
      <c r="AU30" s="13">
        <v>1.4584</v>
      </c>
      <c r="AV30" s="13">
        <f t="shared" si="6"/>
        <v>0.479978058145913</v>
      </c>
      <c r="AW30" s="13">
        <v>0.236687</v>
      </c>
      <c r="AX30" s="13">
        <v>0.084889</v>
      </c>
      <c r="AY30" s="13">
        <v>1.6445</v>
      </c>
      <c r="AZ30" s="13">
        <v>1.7118</v>
      </c>
      <c r="BA30" s="13">
        <v>0.0563704939179139</v>
      </c>
      <c r="BB30" s="13">
        <v>0.246698577219266</v>
      </c>
      <c r="BC30" s="13">
        <v>-0.041976</v>
      </c>
    </row>
    <row r="31" spans="1:55">
      <c r="A31" s="8" t="s">
        <v>160</v>
      </c>
      <c r="B31" s="8" t="s">
        <v>161</v>
      </c>
      <c r="C31" s="8" t="s">
        <v>57</v>
      </c>
      <c r="D31" s="9">
        <v>17242</v>
      </c>
      <c r="E31" s="8" t="s">
        <v>132</v>
      </c>
      <c r="F31" s="8" t="s">
        <v>67</v>
      </c>
      <c r="G31" s="10">
        <v>93637748623.11</v>
      </c>
      <c r="H31" s="10">
        <v>3</v>
      </c>
      <c r="I31" s="9">
        <v>1744600354</v>
      </c>
      <c r="J31" s="9">
        <v>2860079874</v>
      </c>
      <c r="K31" s="11">
        <v>100</v>
      </c>
      <c r="L31" s="12">
        <v>36468</v>
      </c>
      <c r="M31" s="12">
        <v>36237</v>
      </c>
      <c r="N31" s="9">
        <f t="shared" si="0"/>
        <v>231</v>
      </c>
      <c r="O31" s="13">
        <v>28</v>
      </c>
      <c r="P31" s="13">
        <v>5.5</v>
      </c>
      <c r="Q31" s="13">
        <v>5.5</v>
      </c>
      <c r="R31" s="8" t="s">
        <v>162</v>
      </c>
      <c r="S31" s="13">
        <v>290000</v>
      </c>
      <c r="T31" s="13">
        <v>0.075</v>
      </c>
      <c r="U31" s="13">
        <v>23.3303</v>
      </c>
      <c r="V31" s="13">
        <f t="shared" si="1"/>
        <v>0.00321470362575706</v>
      </c>
      <c r="W31" s="13">
        <v>0.5498</v>
      </c>
      <c r="X31" s="13">
        <f t="shared" si="2"/>
        <v>0.13641324117861</v>
      </c>
      <c r="Y31" s="13">
        <v>0.066518</v>
      </c>
      <c r="Z31" s="13">
        <v>0.025084</v>
      </c>
      <c r="AA31" s="13">
        <v>0.8976</v>
      </c>
      <c r="AB31" s="13">
        <v>3.7243</v>
      </c>
      <c r="AC31" s="13">
        <v>0.0309</v>
      </c>
      <c r="AD31" s="13">
        <v>0.1382</v>
      </c>
      <c r="AE31" s="13">
        <v>0.0222</v>
      </c>
      <c r="AF31" s="13"/>
      <c r="AG31" s="13">
        <v>19.4353322780553</v>
      </c>
      <c r="AH31" s="13">
        <f t="shared" si="3"/>
        <v>0</v>
      </c>
      <c r="AI31" s="13">
        <v>0.754</v>
      </c>
      <c r="AJ31" s="13">
        <f t="shared" si="4"/>
        <v>0</v>
      </c>
      <c r="AK31" s="13">
        <v>0.069834</v>
      </c>
      <c r="AL31" s="13">
        <v>0.050523</v>
      </c>
      <c r="AM31" s="13">
        <v>1.0543</v>
      </c>
      <c r="AN31" s="13">
        <v>2.2733</v>
      </c>
      <c r="AO31" s="13">
        <v>0.0542619981996662</v>
      </c>
      <c r="AP31" s="13">
        <v>0.366802598208246</v>
      </c>
      <c r="AQ31" s="13">
        <v>0.094919</v>
      </c>
      <c r="AR31" s="13">
        <v>0.14</v>
      </c>
      <c r="AS31" s="13">
        <v>27.0442299450689</v>
      </c>
      <c r="AT31" s="13">
        <f t="shared" si="5"/>
        <v>0.00517670498603074</v>
      </c>
      <c r="AU31" s="13">
        <v>0.735</v>
      </c>
      <c r="AV31" s="13">
        <f t="shared" si="6"/>
        <v>0.19047619047619</v>
      </c>
      <c r="AW31" s="13">
        <v>0.063934</v>
      </c>
      <c r="AX31" s="13">
        <v>0.04766</v>
      </c>
      <c r="AY31" s="13">
        <v>0.9584</v>
      </c>
      <c r="AZ31" s="13">
        <v>2.4522</v>
      </c>
      <c r="BA31" s="13">
        <v>-0.0240238088131728</v>
      </c>
      <c r="BB31" s="13">
        <v>0.388729594747287</v>
      </c>
      <c r="BC31" s="13">
        <v>0.043887</v>
      </c>
    </row>
    <row r="32" spans="1:55">
      <c r="A32" s="8" t="s">
        <v>163</v>
      </c>
      <c r="B32" s="8" t="s">
        <v>164</v>
      </c>
      <c r="C32" s="8" t="s">
        <v>82</v>
      </c>
      <c r="D32" s="9">
        <v>18265</v>
      </c>
      <c r="E32" s="8" t="s">
        <v>165</v>
      </c>
      <c r="F32" s="8" t="s">
        <v>166</v>
      </c>
      <c r="G32" s="10">
        <v>39928783200.48</v>
      </c>
      <c r="H32" s="10">
        <v>5</v>
      </c>
      <c r="I32" s="9">
        <v>734437216</v>
      </c>
      <c r="J32" s="9">
        <v>1754021048</v>
      </c>
      <c r="K32" s="11">
        <v>99.9632</v>
      </c>
      <c r="L32" s="12">
        <v>36552</v>
      </c>
      <c r="M32" s="12">
        <v>34059</v>
      </c>
      <c r="N32" s="9">
        <f t="shared" si="0"/>
        <v>2493</v>
      </c>
      <c r="O32" s="13">
        <v>41.67</v>
      </c>
      <c r="P32" s="13">
        <v>16.42</v>
      </c>
      <c r="Q32" s="13">
        <v>2.96</v>
      </c>
      <c r="R32" s="8" t="s">
        <v>167</v>
      </c>
      <c r="S32" s="13">
        <v>68793</v>
      </c>
      <c r="T32" s="13">
        <v>0.58</v>
      </c>
      <c r="U32" s="13">
        <v>32.6362</v>
      </c>
      <c r="V32" s="13">
        <f t="shared" si="1"/>
        <v>0.0177716768496332</v>
      </c>
      <c r="W32" s="13">
        <v>2.0046</v>
      </c>
      <c r="X32" s="13">
        <f t="shared" si="2"/>
        <v>0.289334530579667</v>
      </c>
      <c r="Y32" s="13">
        <v>0.159251</v>
      </c>
      <c r="Z32" s="13">
        <v>0.083382</v>
      </c>
      <c r="AA32" s="13">
        <v>1.174</v>
      </c>
      <c r="AB32" s="13">
        <v>1.6185</v>
      </c>
      <c r="AC32" s="13">
        <v>0.0895</v>
      </c>
      <c r="AD32" s="13">
        <v>0.3833</v>
      </c>
      <c r="AE32" s="13">
        <v>0.031556</v>
      </c>
      <c r="AF32" s="13">
        <v>0.29</v>
      </c>
      <c r="AG32" s="13">
        <v>40.1304940077096</v>
      </c>
      <c r="AH32" s="13">
        <f t="shared" si="3"/>
        <v>0.00722642487142788</v>
      </c>
      <c r="AI32" s="13">
        <v>1.4283</v>
      </c>
      <c r="AJ32" s="13">
        <f t="shared" si="4"/>
        <v>0.203038577329693</v>
      </c>
      <c r="AK32" s="13">
        <v>0.142173</v>
      </c>
      <c r="AL32" s="13">
        <v>0.067152</v>
      </c>
      <c r="AM32" s="13">
        <v>1.2963</v>
      </c>
      <c r="AN32" s="13">
        <v>1.6551</v>
      </c>
      <c r="AO32" s="13">
        <v>0.0631546791079676</v>
      </c>
      <c r="AP32" s="13">
        <v>0.394445117435423</v>
      </c>
      <c r="AQ32" s="13">
        <v>0.091174</v>
      </c>
      <c r="AR32" s="13">
        <v>0.58</v>
      </c>
      <c r="AS32" s="13">
        <v>42.8415949481321</v>
      </c>
      <c r="AT32" s="13">
        <f t="shared" si="5"/>
        <v>0.0135382447992938</v>
      </c>
      <c r="AU32" s="13">
        <v>1.6219</v>
      </c>
      <c r="AV32" s="13">
        <f t="shared" si="6"/>
        <v>0.357605277760651</v>
      </c>
      <c r="AW32" s="13">
        <v>0.143284</v>
      </c>
      <c r="AX32" s="13">
        <v>0.070067</v>
      </c>
      <c r="AY32" s="13">
        <v>1.2557</v>
      </c>
      <c r="AZ32" s="13">
        <v>1.6328</v>
      </c>
      <c r="BA32" s="13">
        <v>0.0967220791102839</v>
      </c>
      <c r="BB32" s="13">
        <v>0.432320688417128</v>
      </c>
      <c r="BC32" s="13">
        <v>0.077137</v>
      </c>
    </row>
    <row r="33" spans="1:55">
      <c r="A33" s="8" t="s">
        <v>168</v>
      </c>
      <c r="B33" s="8" t="s">
        <v>169</v>
      </c>
      <c r="C33" s="8" t="s">
        <v>89</v>
      </c>
      <c r="D33" s="9">
        <v>1813</v>
      </c>
      <c r="E33" s="8" t="s">
        <v>170</v>
      </c>
      <c r="F33" s="8" t="s">
        <v>171</v>
      </c>
      <c r="G33" s="10">
        <v>20293863288.27</v>
      </c>
      <c r="H33" s="10">
        <v>2</v>
      </c>
      <c r="I33" s="9">
        <v>1642124499</v>
      </c>
      <c r="J33" s="9">
        <v>2776722265</v>
      </c>
      <c r="K33" s="11">
        <v>91.0222</v>
      </c>
      <c r="L33" s="12">
        <v>36685</v>
      </c>
      <c r="M33" s="12">
        <v>36329</v>
      </c>
      <c r="N33" s="9">
        <f t="shared" si="0"/>
        <v>356</v>
      </c>
      <c r="O33" s="13">
        <v>28.89</v>
      </c>
      <c r="P33" s="13">
        <v>11.96</v>
      </c>
      <c r="Q33" s="13">
        <v>2.75</v>
      </c>
      <c r="R33" s="8" t="s">
        <v>172</v>
      </c>
      <c r="S33" s="13">
        <v>43739</v>
      </c>
      <c r="T33" s="13">
        <v>0.365</v>
      </c>
      <c r="U33" s="13">
        <v>17.2768</v>
      </c>
      <c r="V33" s="13">
        <f t="shared" si="1"/>
        <v>0.0211265975180589</v>
      </c>
      <c r="W33" s="13">
        <v>0.7826</v>
      </c>
      <c r="X33" s="13">
        <f t="shared" si="2"/>
        <v>0.466394071045234</v>
      </c>
      <c r="Y33" s="13">
        <v>0.177096</v>
      </c>
      <c r="Z33" s="13">
        <v>0.178876</v>
      </c>
      <c r="AA33" s="13">
        <v>0.7878</v>
      </c>
      <c r="AB33" s="13">
        <v>1.4053</v>
      </c>
      <c r="AC33" s="13">
        <v>0.285</v>
      </c>
      <c r="AD33" s="13">
        <v>2.2262</v>
      </c>
      <c r="AE33" s="13">
        <v>0.676032</v>
      </c>
      <c r="AF33" s="13">
        <v>0.28</v>
      </c>
      <c r="AG33" s="13">
        <v>10.9053122521553</v>
      </c>
      <c r="AH33" s="13">
        <f t="shared" si="3"/>
        <v>0.0256755600872099</v>
      </c>
      <c r="AI33" s="13">
        <v>0.405</v>
      </c>
      <c r="AJ33" s="13">
        <f t="shared" si="4"/>
        <v>0.691358024691358</v>
      </c>
      <c r="AK33" s="13">
        <v>0.105192</v>
      </c>
      <c r="AL33" s="13">
        <v>0.148451</v>
      </c>
      <c r="AM33" s="13">
        <v>0.5222</v>
      </c>
      <c r="AN33" s="13">
        <v>1.5015</v>
      </c>
      <c r="AO33" s="13">
        <v>0.237316936428815</v>
      </c>
      <c r="AP33" s="13">
        <v>1.3023551436969</v>
      </c>
      <c r="AQ33" s="13">
        <v>-0.072863</v>
      </c>
      <c r="AR33" s="13">
        <v>0.28</v>
      </c>
      <c r="AS33" s="13">
        <v>13.0632775674434</v>
      </c>
      <c r="AT33" s="13">
        <f t="shared" si="5"/>
        <v>0.0214341307956146</v>
      </c>
      <c r="AU33" s="13">
        <v>0.5129</v>
      </c>
      <c r="AV33" s="13">
        <f t="shared" si="6"/>
        <v>0.545915383115617</v>
      </c>
      <c r="AW33" s="13">
        <v>0.126754</v>
      </c>
      <c r="AX33" s="13">
        <v>0.193477</v>
      </c>
      <c r="AY33" s="13">
        <v>0.4993</v>
      </c>
      <c r="AZ33" s="13">
        <v>1.4446</v>
      </c>
      <c r="BA33" s="13">
        <v>0.268932862489564</v>
      </c>
      <c r="BB33" s="13">
        <v>1.6963280290844</v>
      </c>
      <c r="BC33" s="13">
        <v>-0.032909</v>
      </c>
    </row>
    <row r="34" spans="1:55">
      <c r="A34" s="8" t="s">
        <v>173</v>
      </c>
      <c r="B34" s="8" t="s">
        <v>174</v>
      </c>
      <c r="C34" s="8" t="s">
        <v>89</v>
      </c>
      <c r="D34" s="9">
        <v>6968</v>
      </c>
      <c r="E34" s="8" t="s">
        <v>90</v>
      </c>
      <c r="F34" s="8" t="s">
        <v>67</v>
      </c>
      <c r="G34" s="10">
        <v>109333189348.98</v>
      </c>
      <c r="H34" s="10">
        <v>0</v>
      </c>
      <c r="I34" s="9">
        <v>989388739</v>
      </c>
      <c r="J34" s="9">
        <v>1468476655</v>
      </c>
      <c r="K34" s="11">
        <v>99.888</v>
      </c>
      <c r="L34" s="12">
        <v>36685</v>
      </c>
      <c r="M34" s="12">
        <v>36096</v>
      </c>
      <c r="N34" s="9">
        <f t="shared" si="0"/>
        <v>589</v>
      </c>
      <c r="O34" s="13">
        <v>32.0408</v>
      </c>
      <c r="P34" s="13"/>
      <c r="Q34" s="13"/>
      <c r="R34" s="8"/>
      <c r="S34" s="13">
        <v>350000</v>
      </c>
      <c r="T34" s="13">
        <v>0.115</v>
      </c>
      <c r="U34" s="13">
        <v>41.1394</v>
      </c>
      <c r="V34" s="13">
        <f t="shared" si="1"/>
        <v>0.00279537377793551</v>
      </c>
      <c r="W34" s="13">
        <v>1.5568</v>
      </c>
      <c r="X34" s="13">
        <f t="shared" si="2"/>
        <v>0.0738694758478931</v>
      </c>
      <c r="Y34" s="13">
        <v>0.120797</v>
      </c>
      <c r="Z34" s="13">
        <v>0.019952</v>
      </c>
      <c r="AA34" s="13">
        <v>1.9238</v>
      </c>
      <c r="AB34" s="13">
        <v>3.1444</v>
      </c>
      <c r="AC34" s="13">
        <v>0.0009</v>
      </c>
      <c r="AD34" s="13">
        <v>0.1668</v>
      </c>
      <c r="AE34" s="13">
        <v>0.742422</v>
      </c>
      <c r="AF34" s="13">
        <v>0.1491414</v>
      </c>
      <c r="AG34" s="13">
        <v>26.6165196694859</v>
      </c>
      <c r="AH34" s="13">
        <f t="shared" si="3"/>
        <v>0.00560333964966054</v>
      </c>
      <c r="AI34" s="13">
        <v>1.3927</v>
      </c>
      <c r="AJ34" s="13">
        <f t="shared" si="4"/>
        <v>0.107087958641488</v>
      </c>
      <c r="AK34" s="13">
        <v>0.128312</v>
      </c>
      <c r="AL34" s="13">
        <v>0.029567</v>
      </c>
      <c r="AM34" s="13">
        <v>1.5942</v>
      </c>
      <c r="AN34" s="13">
        <v>2.6898</v>
      </c>
      <c r="AO34" s="13">
        <v>0.0258896806883345</v>
      </c>
      <c r="AP34" s="13">
        <v>0.489011558219684</v>
      </c>
      <c r="AQ34" s="13">
        <v>0.036957</v>
      </c>
      <c r="AR34" s="13">
        <v>0.13</v>
      </c>
      <c r="AS34" s="13">
        <v>39.1104720867177</v>
      </c>
      <c r="AT34" s="13">
        <f t="shared" si="5"/>
        <v>0.00332391794483476</v>
      </c>
      <c r="AU34" s="13">
        <v>1.1804</v>
      </c>
      <c r="AV34" s="13">
        <f t="shared" si="6"/>
        <v>0.110132158590308</v>
      </c>
      <c r="AW34" s="13">
        <v>0.101262</v>
      </c>
      <c r="AX34" s="13">
        <v>0.027265</v>
      </c>
      <c r="AY34" s="13">
        <v>1.4779</v>
      </c>
      <c r="AZ34" s="13">
        <v>2.5314</v>
      </c>
      <c r="BA34" s="13">
        <v>0.00790056700618402</v>
      </c>
      <c r="BB34" s="13">
        <v>0.591325258343974</v>
      </c>
      <c r="BC34" s="13">
        <v>-0.054121</v>
      </c>
    </row>
    <row r="35" spans="1:55">
      <c r="A35" s="8" t="s">
        <v>175</v>
      </c>
      <c r="B35" s="8" t="s">
        <v>176</v>
      </c>
      <c r="C35" s="8" t="s">
        <v>89</v>
      </c>
      <c r="D35" s="9">
        <v>37675</v>
      </c>
      <c r="E35" s="8" t="s">
        <v>177</v>
      </c>
      <c r="F35" s="8" t="s">
        <v>171</v>
      </c>
      <c r="G35" s="10">
        <v>109390908609.88</v>
      </c>
      <c r="H35" s="10">
        <v>2</v>
      </c>
      <c r="I35" s="9">
        <v>2424754575</v>
      </c>
      <c r="J35" s="9">
        <v>5677101059</v>
      </c>
      <c r="K35" s="11">
        <v>81.7356</v>
      </c>
      <c r="L35" s="12">
        <v>36733</v>
      </c>
      <c r="M35" s="12">
        <v>36276</v>
      </c>
      <c r="N35" s="9">
        <f t="shared" si="0"/>
        <v>457</v>
      </c>
      <c r="O35" s="13">
        <v>57.29</v>
      </c>
      <c r="P35" s="13">
        <v>1.98</v>
      </c>
      <c r="Q35" s="13">
        <v>1.82</v>
      </c>
      <c r="R35" s="8" t="s">
        <v>178</v>
      </c>
      <c r="S35" s="13">
        <v>166336</v>
      </c>
      <c r="T35" s="13">
        <v>0.22</v>
      </c>
      <c r="U35" s="13">
        <v>9.7743</v>
      </c>
      <c r="V35" s="13">
        <f t="shared" si="1"/>
        <v>0.0225080056883869</v>
      </c>
      <c r="W35" s="13">
        <v>0.5475</v>
      </c>
      <c r="X35" s="13">
        <f t="shared" si="2"/>
        <v>0.401826484018265</v>
      </c>
      <c r="Y35" s="13">
        <v>0.084156</v>
      </c>
      <c r="Z35" s="13">
        <v>0.090308</v>
      </c>
      <c r="AA35" s="13">
        <v>0.445</v>
      </c>
      <c r="AB35" s="13">
        <v>2.7558</v>
      </c>
      <c r="AC35" s="13">
        <v>0.0792</v>
      </c>
      <c r="AD35" s="13">
        <v>0.4765</v>
      </c>
      <c r="AE35" s="13">
        <v>-0.184293</v>
      </c>
      <c r="AF35" s="13">
        <v>1.2</v>
      </c>
      <c r="AG35" s="13">
        <v>12.3171206395864</v>
      </c>
      <c r="AH35" s="13">
        <f t="shared" si="3"/>
        <v>0.0974253671059517</v>
      </c>
      <c r="AI35" s="13">
        <v>2.0887</v>
      </c>
      <c r="AJ35" s="13">
        <f t="shared" si="4"/>
        <v>0.574520036386269</v>
      </c>
      <c r="AK35" s="13">
        <v>0.385676</v>
      </c>
      <c r="AL35" s="13">
        <v>0.203022</v>
      </c>
      <c r="AM35" s="13">
        <v>0.7842</v>
      </c>
      <c r="AN35" s="13">
        <v>2.9898</v>
      </c>
      <c r="AO35" s="13">
        <v>0.259503187417664</v>
      </c>
      <c r="AP35" s="13">
        <v>0.600283127945407</v>
      </c>
      <c r="AQ35" s="13">
        <v>0.203308</v>
      </c>
      <c r="AR35" s="13">
        <v>0.8</v>
      </c>
      <c r="AS35" s="13">
        <v>10.2392388605032</v>
      </c>
      <c r="AT35" s="13">
        <f t="shared" si="5"/>
        <v>0.0781308074651835</v>
      </c>
      <c r="AU35" s="13">
        <v>1.2282</v>
      </c>
      <c r="AV35" s="13">
        <f t="shared" si="6"/>
        <v>0.651359713401726</v>
      </c>
      <c r="AW35" s="13">
        <v>0.191651</v>
      </c>
      <c r="AX35" s="13">
        <v>0.151856</v>
      </c>
      <c r="AY35" s="13">
        <v>0.5865</v>
      </c>
      <c r="AZ35" s="13">
        <v>2.6795</v>
      </c>
      <c r="BA35" s="13">
        <v>0.246695874444942</v>
      </c>
      <c r="BB35" s="13">
        <v>0.804337275427266</v>
      </c>
      <c r="BC35" s="13">
        <v>-0.148206</v>
      </c>
    </row>
    <row r="36" spans="1:55">
      <c r="A36" s="8" t="s">
        <v>179</v>
      </c>
      <c r="B36" s="8" t="s">
        <v>180</v>
      </c>
      <c r="C36" s="8" t="s">
        <v>77</v>
      </c>
      <c r="D36" s="9">
        <v>20031</v>
      </c>
      <c r="E36" s="8" t="s">
        <v>58</v>
      </c>
      <c r="F36" s="8" t="s">
        <v>67</v>
      </c>
      <c r="G36" s="10">
        <v>56563981806.22</v>
      </c>
      <c r="H36" s="10">
        <v>10</v>
      </c>
      <c r="I36" s="9">
        <v>610551324</v>
      </c>
      <c r="J36" s="9">
        <v>1664217858</v>
      </c>
      <c r="K36" s="11">
        <v>99.9084</v>
      </c>
      <c r="L36" s="12">
        <v>36594</v>
      </c>
      <c r="M36" s="12">
        <v>36271</v>
      </c>
      <c r="N36" s="9">
        <f t="shared" si="0"/>
        <v>323</v>
      </c>
      <c r="O36" s="13">
        <v>63.22</v>
      </c>
      <c r="P36" s="13">
        <v>2.04</v>
      </c>
      <c r="Q36" s="13">
        <v>2.03</v>
      </c>
      <c r="R36" s="8" t="s">
        <v>181</v>
      </c>
      <c r="S36" s="13">
        <v>97407</v>
      </c>
      <c r="T36" s="13">
        <v>0.32</v>
      </c>
      <c r="U36" s="13">
        <v>48.3989</v>
      </c>
      <c r="V36" s="13">
        <f t="shared" si="1"/>
        <v>0.00661172051430921</v>
      </c>
      <c r="W36" s="13">
        <v>2.63</v>
      </c>
      <c r="X36" s="13">
        <f t="shared" si="2"/>
        <v>0.121673003802281</v>
      </c>
      <c r="Y36" s="13">
        <v>0.173289</v>
      </c>
      <c r="Z36" s="13">
        <v>0.136792</v>
      </c>
      <c r="AA36" s="13">
        <v>0.6884</v>
      </c>
      <c r="AB36" s="13">
        <v>2.0641</v>
      </c>
      <c r="AC36" s="13">
        <v>0.1594</v>
      </c>
      <c r="AD36" s="13">
        <v>0.4979</v>
      </c>
      <c r="AE36" s="13">
        <v>0.11632</v>
      </c>
      <c r="AF36" s="13">
        <v>1</v>
      </c>
      <c r="AG36" s="13">
        <v>42.2866926393109</v>
      </c>
      <c r="AH36" s="13">
        <f t="shared" si="3"/>
        <v>0.0236481015086617</v>
      </c>
      <c r="AI36" s="13">
        <v>2.48</v>
      </c>
      <c r="AJ36" s="13">
        <f t="shared" si="4"/>
        <v>0.403225806451613</v>
      </c>
      <c r="AK36" s="13">
        <v>0.151666</v>
      </c>
      <c r="AL36" s="13">
        <v>0.138113</v>
      </c>
      <c r="AM36" s="13">
        <v>0.7031</v>
      </c>
      <c r="AN36" s="13">
        <v>1.5927</v>
      </c>
      <c r="AO36" s="13">
        <v>0.16628675688811</v>
      </c>
      <c r="AP36" s="13">
        <v>0.383898619767743</v>
      </c>
      <c r="AQ36" s="13">
        <v>0.163085</v>
      </c>
      <c r="AR36" s="13">
        <v>1.5</v>
      </c>
      <c r="AS36" s="13">
        <v>52.4490849866296</v>
      </c>
      <c r="AT36" s="13">
        <f t="shared" si="5"/>
        <v>0.0285991643206432</v>
      </c>
      <c r="AU36" s="13">
        <v>2.9</v>
      </c>
      <c r="AV36" s="13">
        <f t="shared" si="6"/>
        <v>0.517241379310345</v>
      </c>
      <c r="AW36" s="13">
        <v>0.158599</v>
      </c>
      <c r="AX36" s="13">
        <v>0.128279</v>
      </c>
      <c r="AY36" s="13">
        <v>0.7355</v>
      </c>
      <c r="AZ36" s="13">
        <v>1.8699</v>
      </c>
      <c r="BA36" s="13">
        <v>0.16943890880229</v>
      </c>
      <c r="BB36" s="13">
        <v>0.636025025683236</v>
      </c>
      <c r="BC36" s="13">
        <v>0.368346</v>
      </c>
    </row>
    <row r="37" spans="1:55">
      <c r="A37" s="8" t="s">
        <v>182</v>
      </c>
      <c r="B37" s="8" t="s">
        <v>183</v>
      </c>
      <c r="C37" s="8" t="s">
        <v>77</v>
      </c>
      <c r="D37" s="9">
        <v>5739</v>
      </c>
      <c r="E37" s="8" t="s">
        <v>132</v>
      </c>
      <c r="F37" s="8" t="s">
        <v>184</v>
      </c>
      <c r="G37" s="10">
        <v>29060983961</v>
      </c>
      <c r="H37" s="10">
        <v>10</v>
      </c>
      <c r="I37" s="9">
        <v>858765260</v>
      </c>
      <c r="J37" s="9">
        <v>12208881225</v>
      </c>
      <c r="K37" s="11">
        <v>7.0339</v>
      </c>
      <c r="L37" s="12">
        <v>45656</v>
      </c>
      <c r="M37" s="12">
        <v>37939</v>
      </c>
      <c r="N37" s="9">
        <f t="shared" si="0"/>
        <v>7717</v>
      </c>
      <c r="O37" s="13">
        <v>39.4</v>
      </c>
      <c r="P37" s="13">
        <v>13.13</v>
      </c>
      <c r="Q37" s="13">
        <v>10.72</v>
      </c>
      <c r="R37" s="8" t="s">
        <v>185</v>
      </c>
      <c r="S37" s="13">
        <v>134973</v>
      </c>
      <c r="T37" s="13">
        <v>0.065</v>
      </c>
      <c r="U37" s="13">
        <v>9.2281</v>
      </c>
      <c r="V37" s="13">
        <f t="shared" si="1"/>
        <v>0.00704370347092034</v>
      </c>
      <c r="W37" s="13">
        <v>0.18</v>
      </c>
      <c r="X37" s="13">
        <f t="shared" si="2"/>
        <v>0.361111111111111</v>
      </c>
      <c r="Y37" s="13">
        <v>0.088254</v>
      </c>
      <c r="Z37" s="13">
        <v>0.094907</v>
      </c>
      <c r="AA37" s="13">
        <v>0.8162</v>
      </c>
      <c r="AB37" s="13">
        <v>1.1395</v>
      </c>
      <c r="AC37" s="13">
        <v>0.1514</v>
      </c>
      <c r="AD37" s="13">
        <v>2.057</v>
      </c>
      <c r="AE37" s="13">
        <v>0.379745</v>
      </c>
      <c r="AF37" s="13"/>
      <c r="AG37" s="13"/>
      <c r="AH37" s="13" t="e">
        <f t="shared" si="3"/>
        <v>#DIV/0!</v>
      </c>
      <c r="AI37" s="13">
        <v>0.29</v>
      </c>
      <c r="AJ37" s="13">
        <f t="shared" si="4"/>
        <v>0</v>
      </c>
      <c r="AK37" s="13">
        <v>0.169311</v>
      </c>
      <c r="AL37" s="13">
        <v>0.134801</v>
      </c>
      <c r="AM37" s="13">
        <v>1.0026</v>
      </c>
      <c r="AN37" s="13">
        <v>1.2537</v>
      </c>
      <c r="AO37" s="13">
        <v>0.182186349137081</v>
      </c>
      <c r="AP37" s="13">
        <v>2.41271125271556</v>
      </c>
      <c r="AQ37" s="13">
        <v>-0.050562</v>
      </c>
      <c r="AR37" s="13"/>
      <c r="AS37" s="13"/>
      <c r="AT37" s="13" t="e">
        <f t="shared" si="5"/>
        <v>#DIV/0!</v>
      </c>
      <c r="AU37" s="13">
        <v>0.11</v>
      </c>
      <c r="AV37" s="13">
        <f t="shared" si="6"/>
        <v>0</v>
      </c>
      <c r="AW37" s="13">
        <v>0.060203</v>
      </c>
      <c r="AX37" s="13">
        <v>0.07739</v>
      </c>
      <c r="AY37" s="13">
        <v>0.6771</v>
      </c>
      <c r="AZ37" s="13">
        <v>1.15</v>
      </c>
      <c r="BA37" s="13">
        <v>0.159308792683637</v>
      </c>
      <c r="BB37" s="13">
        <v>1.92211811768005</v>
      </c>
      <c r="BC37" s="13">
        <v>-0.353503</v>
      </c>
    </row>
    <row r="38" spans="1:55">
      <c r="A38" s="8" t="s">
        <v>186</v>
      </c>
      <c r="B38" s="8" t="s">
        <v>187</v>
      </c>
      <c r="C38" s="8" t="s">
        <v>77</v>
      </c>
      <c r="D38" s="9">
        <v>6445</v>
      </c>
      <c r="E38" s="8" t="s">
        <v>188</v>
      </c>
      <c r="F38" s="8" t="s">
        <v>184</v>
      </c>
      <c r="G38" s="10">
        <v>160882376944.31</v>
      </c>
      <c r="H38" s="10">
        <v>3</v>
      </c>
      <c r="I38" s="9">
        <v>1801638325</v>
      </c>
      <c r="J38" s="9">
        <v>6795094992</v>
      </c>
      <c r="K38" s="11">
        <v>100</v>
      </c>
      <c r="L38" s="12">
        <v>43094</v>
      </c>
      <c r="M38" s="12">
        <v>34321</v>
      </c>
      <c r="N38" s="9">
        <f t="shared" si="0"/>
        <v>8773</v>
      </c>
      <c r="O38" s="13">
        <v>62.19</v>
      </c>
      <c r="P38" s="13">
        <v>5.77</v>
      </c>
      <c r="Q38" s="13">
        <v>5.25</v>
      </c>
      <c r="R38" s="8" t="s">
        <v>189</v>
      </c>
      <c r="S38" s="13">
        <v>47973</v>
      </c>
      <c r="T38" s="13">
        <v>0.417</v>
      </c>
      <c r="U38" s="13">
        <v>11.5234</v>
      </c>
      <c r="V38" s="13">
        <f t="shared" si="1"/>
        <v>0.0361872364059219</v>
      </c>
      <c r="W38" s="13">
        <v>0.7681</v>
      </c>
      <c r="X38" s="13">
        <f t="shared" si="2"/>
        <v>0.542898060148418</v>
      </c>
      <c r="Y38" s="13">
        <v>0.078106</v>
      </c>
      <c r="Z38" s="13">
        <v>0.467008</v>
      </c>
      <c r="AA38" s="13">
        <v>0.0803</v>
      </c>
      <c r="AB38" s="13">
        <v>2.3235</v>
      </c>
      <c r="AC38" s="13">
        <v>0.5602</v>
      </c>
      <c r="AD38" s="13">
        <v>0.5708</v>
      </c>
      <c r="AE38" s="13">
        <v>0.306191</v>
      </c>
      <c r="AF38" s="13">
        <v>0.414</v>
      </c>
      <c r="AG38" s="13">
        <v>7.81999063911628</v>
      </c>
      <c r="AH38" s="13">
        <f t="shared" si="3"/>
        <v>0.0529412398435793</v>
      </c>
      <c r="AI38" s="13">
        <v>0.7528</v>
      </c>
      <c r="AJ38" s="13">
        <f t="shared" si="4"/>
        <v>0.549946865037194</v>
      </c>
      <c r="AK38" s="13">
        <v>0.081785</v>
      </c>
      <c r="AL38" s="13">
        <v>0.632998</v>
      </c>
      <c r="AM38" s="13">
        <v>0.0778</v>
      </c>
      <c r="AN38" s="13">
        <v>1.7941</v>
      </c>
      <c r="AO38" s="13">
        <v>0.46739914295454</v>
      </c>
      <c r="AP38" s="13">
        <v>0.455666761596039</v>
      </c>
      <c r="AQ38" s="13">
        <v>-0.038134</v>
      </c>
      <c r="AR38" s="13">
        <v>0.531</v>
      </c>
      <c r="AS38" s="13">
        <v>9.26728807338434</v>
      </c>
      <c r="AT38" s="13">
        <f t="shared" si="5"/>
        <v>0.0572983159469309</v>
      </c>
      <c r="AU38" s="13">
        <v>1.0553</v>
      </c>
      <c r="AV38" s="13">
        <f t="shared" si="6"/>
        <v>0.503174452762248</v>
      </c>
      <c r="AW38" s="13">
        <v>0.107759</v>
      </c>
      <c r="AX38" s="13">
        <v>0.741534</v>
      </c>
      <c r="AY38" s="13">
        <v>0.0714</v>
      </c>
      <c r="AZ38" s="13">
        <v>2.1691</v>
      </c>
      <c r="BA38" s="13">
        <v>0.456012679656419</v>
      </c>
      <c r="BB38" s="13">
        <v>0.521038603115252</v>
      </c>
      <c r="BC38" s="13">
        <v>0.172864</v>
      </c>
    </row>
    <row r="39" spans="1:55">
      <c r="A39" s="8" t="s">
        <v>190</v>
      </c>
      <c r="B39" s="8" t="s">
        <v>191</v>
      </c>
      <c r="C39" s="8" t="s">
        <v>77</v>
      </c>
      <c r="D39" s="9">
        <v>49501</v>
      </c>
      <c r="E39" s="8" t="s">
        <v>58</v>
      </c>
      <c r="F39" s="8" t="s">
        <v>63</v>
      </c>
      <c r="G39" s="10">
        <v>861476320046.98</v>
      </c>
      <c r="H39" s="10">
        <v>0</v>
      </c>
      <c r="I39" s="9">
        <v>3262039367</v>
      </c>
      <c r="J39" s="9">
        <v>9016032171</v>
      </c>
      <c r="K39" s="11">
        <v>93.3229</v>
      </c>
      <c r="L39" s="12">
        <v>42368</v>
      </c>
      <c r="M39" s="12">
        <v>33653</v>
      </c>
      <c r="N39" s="9">
        <f t="shared" si="0"/>
        <v>8715</v>
      </c>
      <c r="O39" s="13">
        <v>50.84</v>
      </c>
      <c r="P39" s="13">
        <v>5.03</v>
      </c>
      <c r="Q39" s="13">
        <v>4.52</v>
      </c>
      <c r="R39" s="8" t="s">
        <v>192</v>
      </c>
      <c r="S39" s="13">
        <v>102616</v>
      </c>
      <c r="T39" s="13">
        <v>0.194091</v>
      </c>
      <c r="U39" s="13">
        <v>10.0431</v>
      </c>
      <c r="V39" s="13">
        <f t="shared" si="1"/>
        <v>0.0193258057771007</v>
      </c>
      <c r="W39" s="13">
        <v>0.37</v>
      </c>
      <c r="X39" s="13">
        <f t="shared" si="2"/>
        <v>0.52457027027027</v>
      </c>
      <c r="Y39" s="13">
        <v>0.035007</v>
      </c>
      <c r="Z39" s="13">
        <v>0.023409</v>
      </c>
      <c r="AA39" s="13">
        <v>0.2023</v>
      </c>
      <c r="AB39" s="13">
        <v>7.6662</v>
      </c>
      <c r="AC39" s="13">
        <v>0.1786</v>
      </c>
      <c r="AD39" s="13">
        <v>0.2599</v>
      </c>
      <c r="AE39" s="13">
        <v>0.022513</v>
      </c>
      <c r="AF39" s="13">
        <v>0.23</v>
      </c>
      <c r="AG39" s="13">
        <v>14.1055968919429</v>
      </c>
      <c r="AH39" s="13">
        <f t="shared" si="3"/>
        <v>0.0163055843550567</v>
      </c>
      <c r="AI39" s="13">
        <v>0.41</v>
      </c>
      <c r="AJ39" s="13">
        <f t="shared" si="4"/>
        <v>0.560975609756098</v>
      </c>
      <c r="AK39" s="13">
        <v>0.040536</v>
      </c>
      <c r="AL39" s="13">
        <v>0.049718</v>
      </c>
      <c r="AM39" s="13">
        <v>0.21</v>
      </c>
      <c r="AN39" s="13">
        <v>8.2833</v>
      </c>
      <c r="AO39" s="13">
        <v>0.12116758416414</v>
      </c>
      <c r="AP39" s="13">
        <v>0.203968444985776</v>
      </c>
      <c r="AQ39" s="13">
        <v>0.139186</v>
      </c>
      <c r="AR39" s="13">
        <v>0.32</v>
      </c>
      <c r="AS39" s="13">
        <v>12.9591614850251</v>
      </c>
      <c r="AT39" s="13">
        <f t="shared" si="5"/>
        <v>0.024692955664591</v>
      </c>
      <c r="AU39" s="13">
        <v>0.65</v>
      </c>
      <c r="AV39" s="13">
        <f t="shared" si="6"/>
        <v>0.492307692307692</v>
      </c>
      <c r="AW39" s="13">
        <v>0.057077</v>
      </c>
      <c r="AX39" s="13">
        <v>0.052033</v>
      </c>
      <c r="AY39" s="13">
        <v>0.195</v>
      </c>
      <c r="AZ39" s="13">
        <v>8.1061</v>
      </c>
      <c r="BA39" s="13">
        <v>0.179597871545636</v>
      </c>
      <c r="BB39" s="13">
        <v>0.208798219815828</v>
      </c>
      <c r="BC39" s="13">
        <v>-0.043688</v>
      </c>
    </row>
    <row r="40" spans="1:55">
      <c r="A40" s="8" t="s">
        <v>193</v>
      </c>
      <c r="B40" s="8" t="s">
        <v>194</v>
      </c>
      <c r="C40" s="8" t="s">
        <v>82</v>
      </c>
      <c r="D40" s="9">
        <v>11369</v>
      </c>
      <c r="E40" s="8" t="s">
        <v>165</v>
      </c>
      <c r="F40" s="8" t="s">
        <v>67</v>
      </c>
      <c r="G40" s="10">
        <v>45093962982.74</v>
      </c>
      <c r="H40" s="10">
        <v>13</v>
      </c>
      <c r="I40" s="9">
        <v>1493980515</v>
      </c>
      <c r="J40" s="9">
        <v>3073421680</v>
      </c>
      <c r="K40" s="11">
        <v>98.8105</v>
      </c>
      <c r="L40" s="12">
        <v>38163</v>
      </c>
      <c r="M40" s="12">
        <v>36255</v>
      </c>
      <c r="N40" s="9">
        <f t="shared" si="0"/>
        <v>1908</v>
      </c>
      <c r="O40" s="13">
        <v>50.08</v>
      </c>
      <c r="P40" s="13">
        <v>6.03</v>
      </c>
      <c r="Q40" s="13">
        <v>0.88</v>
      </c>
      <c r="R40" s="8" t="s">
        <v>195</v>
      </c>
      <c r="S40" s="13">
        <v>82471</v>
      </c>
      <c r="T40" s="13">
        <v>0.5</v>
      </c>
      <c r="U40" s="13">
        <v>20.3207</v>
      </c>
      <c r="V40" s="13">
        <f t="shared" si="1"/>
        <v>0.0246054515838529</v>
      </c>
      <c r="W40" s="13">
        <v>1.91</v>
      </c>
      <c r="X40" s="13">
        <f t="shared" si="2"/>
        <v>0.261780104712042</v>
      </c>
      <c r="Y40" s="13">
        <v>0.216833</v>
      </c>
      <c r="Z40" s="13">
        <v>0.272882</v>
      </c>
      <c r="AA40" s="13">
        <v>0.5261</v>
      </c>
      <c r="AB40" s="13">
        <v>1.5176</v>
      </c>
      <c r="AC40" s="13">
        <v>0.3273</v>
      </c>
      <c r="AD40" s="13">
        <v>1.1911</v>
      </c>
      <c r="AE40" s="13">
        <v>0.429533</v>
      </c>
      <c r="AF40" s="13">
        <v>0.5</v>
      </c>
      <c r="AG40" s="13">
        <v>24.985923435553</v>
      </c>
      <c r="AH40" s="13">
        <f t="shared" si="3"/>
        <v>0.0200112675959192</v>
      </c>
      <c r="AI40" s="13">
        <v>1.17</v>
      </c>
      <c r="AJ40" s="13">
        <f t="shared" si="4"/>
        <v>0.427350427350427</v>
      </c>
      <c r="AK40" s="13">
        <v>0.159572</v>
      </c>
      <c r="AL40" s="13">
        <v>0.228334</v>
      </c>
      <c r="AM40" s="13">
        <v>0.4368</v>
      </c>
      <c r="AN40" s="13">
        <v>1.6079</v>
      </c>
      <c r="AO40" s="13">
        <v>0.273721937538523</v>
      </c>
      <c r="AP40" s="13">
        <v>0.807777622148193</v>
      </c>
      <c r="AQ40" s="13">
        <v>0.068169</v>
      </c>
      <c r="AR40" s="13">
        <v>0.45</v>
      </c>
      <c r="AS40" s="13">
        <v>17.1893363311781</v>
      </c>
      <c r="AT40" s="13">
        <f t="shared" si="5"/>
        <v>0.0261790211867452</v>
      </c>
      <c r="AU40" s="13">
        <v>0.87</v>
      </c>
      <c r="AV40" s="13">
        <f t="shared" si="6"/>
        <v>0.517241379310345</v>
      </c>
      <c r="AW40" s="13">
        <v>0.111793</v>
      </c>
      <c r="AX40" s="13">
        <v>0.180293</v>
      </c>
      <c r="AY40" s="13">
        <v>0.3905</v>
      </c>
      <c r="AZ40" s="13">
        <v>1.6003</v>
      </c>
      <c r="BA40" s="13">
        <v>0.338660293835977</v>
      </c>
      <c r="BB40" s="13">
        <v>0.789322355452404</v>
      </c>
      <c r="BC40" s="13">
        <v>-0.051302</v>
      </c>
    </row>
    <row r="41" spans="1:55">
      <c r="A41" s="8" t="s">
        <v>196</v>
      </c>
      <c r="B41" s="8" t="s">
        <v>197</v>
      </c>
      <c r="C41" s="8" t="s">
        <v>157</v>
      </c>
      <c r="D41" s="9">
        <v>5042</v>
      </c>
      <c r="E41" s="8" t="s">
        <v>198</v>
      </c>
      <c r="F41" s="8" t="s">
        <v>199</v>
      </c>
      <c r="G41" s="10">
        <v>23789042737.84</v>
      </c>
      <c r="H41" s="10">
        <v>2</v>
      </c>
      <c r="I41" s="9">
        <v>9733206673</v>
      </c>
      <c r="J41" s="9">
        <v>14442199726</v>
      </c>
      <c r="K41" s="11">
        <v>100</v>
      </c>
      <c r="L41" s="12">
        <v>38203</v>
      </c>
      <c r="M41" s="12">
        <v>35668</v>
      </c>
      <c r="N41" s="9">
        <f t="shared" si="0"/>
        <v>2535</v>
      </c>
      <c r="O41" s="13">
        <v>23.72</v>
      </c>
      <c r="P41" s="13">
        <v>6.13</v>
      </c>
      <c r="Q41" s="13">
        <v>5.56</v>
      </c>
      <c r="R41" s="8" t="s">
        <v>200</v>
      </c>
      <c r="S41" s="13">
        <v>168643</v>
      </c>
      <c r="T41" s="13">
        <v>0.23</v>
      </c>
      <c r="U41" s="13">
        <v>6.4942</v>
      </c>
      <c r="V41" s="13">
        <f t="shared" si="1"/>
        <v>0.0354162175479659</v>
      </c>
      <c r="W41" s="13">
        <v>0.357</v>
      </c>
      <c r="X41" s="13">
        <f t="shared" si="2"/>
        <v>0.644257703081233</v>
      </c>
      <c r="Y41" s="13">
        <v>0.296963</v>
      </c>
      <c r="Z41" s="13">
        <v>0.4136</v>
      </c>
      <c r="AA41" s="13">
        <v>0.52</v>
      </c>
      <c r="AB41" s="13">
        <v>1.3583</v>
      </c>
      <c r="AC41" s="13">
        <v>0.5417</v>
      </c>
      <c r="AD41" s="13">
        <v>1.3759</v>
      </c>
      <c r="AE41" s="13">
        <v>0.030106</v>
      </c>
      <c r="AF41" s="13">
        <v>0.28</v>
      </c>
      <c r="AG41" s="13">
        <v>6.26053944504707</v>
      </c>
      <c r="AH41" s="13">
        <f t="shared" si="3"/>
        <v>0.044724580438754</v>
      </c>
      <c r="AI41" s="13">
        <v>0.1932</v>
      </c>
      <c r="AJ41" s="13">
        <f t="shared" si="4"/>
        <v>1.44927536231884</v>
      </c>
      <c r="AK41" s="13">
        <v>0.157944</v>
      </c>
      <c r="AL41" s="13">
        <v>0.301243</v>
      </c>
      <c r="AM41" s="13">
        <v>0.3711</v>
      </c>
      <c r="AN41" s="13">
        <v>1.4378</v>
      </c>
      <c r="AO41" s="13">
        <v>0.71076817667682</v>
      </c>
      <c r="AP41" s="13">
        <v>1.1384256714325</v>
      </c>
      <c r="AQ41" s="13">
        <v>-0.364742</v>
      </c>
      <c r="AR41" s="13">
        <v>0.33</v>
      </c>
      <c r="AS41" s="13">
        <v>6.83045111246547</v>
      </c>
      <c r="AT41" s="13">
        <f t="shared" si="5"/>
        <v>0.0483130608164013</v>
      </c>
      <c r="AU41" s="13">
        <v>0.3342</v>
      </c>
      <c r="AV41" s="13">
        <f t="shared" si="6"/>
        <v>0.987432675044883</v>
      </c>
      <c r="AW41" s="13">
        <v>0.278682</v>
      </c>
      <c r="AX41" s="13">
        <v>0.403203</v>
      </c>
      <c r="AY41" s="13">
        <v>0.48</v>
      </c>
      <c r="AZ41" s="13">
        <v>1.4318</v>
      </c>
      <c r="BA41" s="13">
        <v>0.645007911881242</v>
      </c>
      <c r="BB41" s="13">
        <v>1.7018208988383</v>
      </c>
      <c r="BC41" s="13">
        <v>0.263</v>
      </c>
    </row>
    <row r="42" spans="1:55">
      <c r="A42" s="8" t="s">
        <v>201</v>
      </c>
      <c r="B42" s="8" t="s">
        <v>202</v>
      </c>
      <c r="C42" s="8" t="s">
        <v>82</v>
      </c>
      <c r="D42" s="9">
        <v>9456</v>
      </c>
      <c r="E42" s="8" t="s">
        <v>198</v>
      </c>
      <c r="F42" s="8" t="s">
        <v>67</v>
      </c>
      <c r="G42" s="10">
        <v>27256893256.09</v>
      </c>
      <c r="H42" s="10">
        <v>5</v>
      </c>
      <c r="I42" s="9">
        <v>552512025</v>
      </c>
      <c r="J42" s="9">
        <v>781086812</v>
      </c>
      <c r="K42" s="11">
        <v>78.0283</v>
      </c>
      <c r="L42" s="12">
        <v>38204</v>
      </c>
      <c r="M42" s="12">
        <v>34305</v>
      </c>
      <c r="N42" s="9">
        <f t="shared" si="0"/>
        <v>3899</v>
      </c>
      <c r="O42" s="13">
        <v>21.17</v>
      </c>
      <c r="P42" s="13">
        <v>16.83</v>
      </c>
      <c r="Q42" s="13">
        <v>12.34</v>
      </c>
      <c r="R42" s="8" t="s">
        <v>203</v>
      </c>
      <c r="S42" s="13">
        <v>20973</v>
      </c>
      <c r="T42" s="13">
        <v>0.49984</v>
      </c>
      <c r="U42" s="13">
        <v>66.8665</v>
      </c>
      <c r="V42" s="13">
        <f t="shared" si="1"/>
        <v>0.0074751931086568</v>
      </c>
      <c r="W42" s="13">
        <v>2.64</v>
      </c>
      <c r="X42" s="13">
        <f t="shared" si="2"/>
        <v>0.189333333333333</v>
      </c>
      <c r="Y42" s="13">
        <v>0.180029</v>
      </c>
      <c r="Z42" s="13">
        <v>0.13487</v>
      </c>
      <c r="AA42" s="13">
        <v>0.7325</v>
      </c>
      <c r="AB42" s="13">
        <v>1.8541</v>
      </c>
      <c r="AC42" s="13">
        <v>0.1593</v>
      </c>
      <c r="AD42" s="13">
        <v>0.7087</v>
      </c>
      <c r="AE42" s="13">
        <v>0.240613</v>
      </c>
      <c r="AF42" s="13">
        <v>0.2999822</v>
      </c>
      <c r="AG42" s="13">
        <v>39.0164513587414</v>
      </c>
      <c r="AH42" s="13">
        <f t="shared" si="3"/>
        <v>0.00768860799875873</v>
      </c>
      <c r="AI42" s="13">
        <v>1.59</v>
      </c>
      <c r="AJ42" s="13">
        <f t="shared" si="4"/>
        <v>0.188668050314465</v>
      </c>
      <c r="AK42" s="13">
        <v>0.139146</v>
      </c>
      <c r="AL42" s="13">
        <v>0.122186</v>
      </c>
      <c r="AM42" s="13">
        <v>0.7114</v>
      </c>
      <c r="AN42" s="13">
        <v>1.6889</v>
      </c>
      <c r="AO42" s="13">
        <v>0.100108963338644</v>
      </c>
      <c r="AP42" s="13">
        <v>0.762983069925292</v>
      </c>
      <c r="AQ42" s="13">
        <v>0.21181</v>
      </c>
      <c r="AR42" s="13">
        <v>0.399916</v>
      </c>
      <c r="AS42" s="13">
        <v>46.9128994076206</v>
      </c>
      <c r="AT42" s="13">
        <f t="shared" si="5"/>
        <v>0.00852464897820912</v>
      </c>
      <c r="AU42" s="13">
        <v>2.02</v>
      </c>
      <c r="AV42" s="13">
        <f t="shared" si="6"/>
        <v>0.197978217821782</v>
      </c>
      <c r="AW42" s="13">
        <v>0.159463</v>
      </c>
      <c r="AX42" s="13">
        <v>0.129094</v>
      </c>
      <c r="AY42" s="13">
        <v>0.7235</v>
      </c>
      <c r="AZ42" s="13">
        <v>1.7614</v>
      </c>
      <c r="BA42" s="13">
        <v>0.182352310741914</v>
      </c>
      <c r="BB42" s="13">
        <v>0.754374798358154</v>
      </c>
      <c r="BC42" s="13">
        <v>0.182492</v>
      </c>
    </row>
    <row r="43" spans="1:55">
      <c r="A43" s="8" t="s">
        <v>204</v>
      </c>
      <c r="B43" s="8" t="s">
        <v>205</v>
      </c>
      <c r="C43" s="8" t="s">
        <v>57</v>
      </c>
      <c r="D43" s="9">
        <v>2788</v>
      </c>
      <c r="E43" s="8" t="s">
        <v>206</v>
      </c>
      <c r="F43" s="8" t="s">
        <v>67</v>
      </c>
      <c r="G43" s="10">
        <v>18249639029.25</v>
      </c>
      <c r="H43" s="10">
        <v>3</v>
      </c>
      <c r="I43" s="9">
        <v>628570981</v>
      </c>
      <c r="J43" s="9">
        <v>849624032</v>
      </c>
      <c r="K43" s="11">
        <v>99.9821</v>
      </c>
      <c r="L43" s="12">
        <v>38509</v>
      </c>
      <c r="M43" s="12">
        <v>37151</v>
      </c>
      <c r="N43" s="9">
        <f t="shared" si="0"/>
        <v>1358</v>
      </c>
      <c r="O43" s="13">
        <v>26</v>
      </c>
      <c r="P43" s="13">
        <v>3.99</v>
      </c>
      <c r="Q43" s="13">
        <v>1.37</v>
      </c>
      <c r="R43" s="8" t="s">
        <v>207</v>
      </c>
      <c r="S43" s="13">
        <v>189700</v>
      </c>
      <c r="T43" s="13">
        <v>0.21</v>
      </c>
      <c r="U43" s="13">
        <v>62.8324</v>
      </c>
      <c r="V43" s="13">
        <f t="shared" si="1"/>
        <v>0.00334222471209121</v>
      </c>
      <c r="W43" s="13">
        <v>1.3986</v>
      </c>
      <c r="X43" s="13">
        <f t="shared" si="2"/>
        <v>0.15015015015015</v>
      </c>
      <c r="Y43" s="13">
        <v>0.098078</v>
      </c>
      <c r="Z43" s="13">
        <v>0.215097</v>
      </c>
      <c r="AA43" s="13">
        <v>0.3162</v>
      </c>
      <c r="AB43" s="13">
        <v>1.4493</v>
      </c>
      <c r="AC43" s="13">
        <v>0.2663</v>
      </c>
      <c r="AD43" s="13">
        <v>1.778</v>
      </c>
      <c r="AE43" s="13">
        <v>-0.272563</v>
      </c>
      <c r="AF43" s="13"/>
      <c r="AG43" s="13">
        <v>178.114084012297</v>
      </c>
      <c r="AH43" s="13">
        <f t="shared" si="3"/>
        <v>0</v>
      </c>
      <c r="AI43" s="13">
        <v>3.0978</v>
      </c>
      <c r="AJ43" s="13">
        <f t="shared" si="4"/>
        <v>0</v>
      </c>
      <c r="AK43" s="13">
        <v>0.31061</v>
      </c>
      <c r="AL43" s="13">
        <v>0.370849</v>
      </c>
      <c r="AM43" s="13">
        <v>0.5289</v>
      </c>
      <c r="AN43" s="13">
        <v>1.5886</v>
      </c>
      <c r="AO43" s="13">
        <v>0.242489278367348</v>
      </c>
      <c r="AP43" s="13">
        <v>1.83725867328538</v>
      </c>
      <c r="AQ43" s="13">
        <v>0.332788</v>
      </c>
      <c r="AR43" s="13">
        <v>0.68</v>
      </c>
      <c r="AS43" s="13">
        <v>98.9204269695664</v>
      </c>
      <c r="AT43" s="13">
        <f t="shared" si="5"/>
        <v>0.00687421214032171</v>
      </c>
      <c r="AU43" s="13">
        <v>2.9915</v>
      </c>
      <c r="AV43" s="13">
        <f t="shared" si="6"/>
        <v>0.227310713688785</v>
      </c>
      <c r="AW43" s="13">
        <v>0.236988</v>
      </c>
      <c r="AX43" s="13">
        <v>0.334901</v>
      </c>
      <c r="AY43" s="13">
        <v>0.4604</v>
      </c>
      <c r="AZ43" s="13">
        <v>1.5387</v>
      </c>
      <c r="BA43" s="13">
        <v>0.234216257651336</v>
      </c>
      <c r="BB43" s="13">
        <v>1.51674464543513</v>
      </c>
      <c r="BC43" s="13">
        <v>0.062566</v>
      </c>
    </row>
    <row r="44" spans="1:55">
      <c r="A44" s="8" t="s">
        <v>208</v>
      </c>
      <c r="B44" s="8" t="s">
        <v>209</v>
      </c>
      <c r="C44" s="8" t="s">
        <v>82</v>
      </c>
      <c r="D44" s="9">
        <v>19787</v>
      </c>
      <c r="E44" s="8" t="s">
        <v>165</v>
      </c>
      <c r="F44" s="8" t="s">
        <v>67</v>
      </c>
      <c r="G44" s="10">
        <v>48514006971.69</v>
      </c>
      <c r="H44" s="10">
        <v>4</v>
      </c>
      <c r="I44" s="9">
        <v>2061579217</v>
      </c>
      <c r="J44" s="9">
        <v>4208013935</v>
      </c>
      <c r="K44" s="11">
        <v>87.5519</v>
      </c>
      <c r="L44" s="12">
        <v>38510</v>
      </c>
      <c r="M44" s="12">
        <v>34587</v>
      </c>
      <c r="N44" s="9">
        <f t="shared" si="0"/>
        <v>3923</v>
      </c>
      <c r="O44" s="13">
        <v>22.54</v>
      </c>
      <c r="P44" s="13">
        <v>15.7849</v>
      </c>
      <c r="Q44" s="13">
        <v>11.32</v>
      </c>
      <c r="R44" s="8" t="s">
        <v>210</v>
      </c>
      <c r="S44" s="13">
        <v>445415</v>
      </c>
      <c r="T44" s="13">
        <v>0.25</v>
      </c>
      <c r="U44" s="13">
        <v>22.248</v>
      </c>
      <c r="V44" s="13">
        <f t="shared" si="1"/>
        <v>0.0112369651204603</v>
      </c>
      <c r="W44" s="13">
        <v>0.84</v>
      </c>
      <c r="X44" s="13">
        <f t="shared" si="2"/>
        <v>0.297619047619048</v>
      </c>
      <c r="Y44" s="13">
        <v>0.166657</v>
      </c>
      <c r="Z44" s="13">
        <v>0.111343</v>
      </c>
      <c r="AA44" s="13">
        <v>0.819</v>
      </c>
      <c r="AB44" s="13">
        <v>1.8349</v>
      </c>
      <c r="AC44" s="13">
        <v>0.1562</v>
      </c>
      <c r="AD44" s="13">
        <v>0.5814</v>
      </c>
      <c r="AE44" s="13">
        <v>0.138016</v>
      </c>
      <c r="AF44" s="13">
        <v>0.2</v>
      </c>
      <c r="AG44" s="13">
        <v>24.0301690583521</v>
      </c>
      <c r="AH44" s="13">
        <f t="shared" si="3"/>
        <v>0.00832287111731686</v>
      </c>
      <c r="AI44" s="13">
        <v>0.72</v>
      </c>
      <c r="AJ44" s="13">
        <f t="shared" si="4"/>
        <v>0.277777777777778</v>
      </c>
      <c r="AK44" s="13">
        <v>0.21363</v>
      </c>
      <c r="AL44" s="13">
        <v>0.122171</v>
      </c>
      <c r="AM44" s="13">
        <v>0.8277</v>
      </c>
      <c r="AN44" s="13">
        <v>2.141</v>
      </c>
      <c r="AO44" s="13">
        <v>0.117562273938163</v>
      </c>
      <c r="AP44" s="13">
        <v>0.865300807588026</v>
      </c>
      <c r="AQ44" s="13">
        <v>0.332489</v>
      </c>
      <c r="AR44" s="13">
        <v>0.25</v>
      </c>
      <c r="AS44" s="13">
        <v>26.7778273465752</v>
      </c>
      <c r="AT44" s="13">
        <f t="shared" si="5"/>
        <v>0.00933608230288236</v>
      </c>
      <c r="AU44" s="13">
        <v>0.81</v>
      </c>
      <c r="AV44" s="13">
        <f t="shared" si="6"/>
        <v>0.308641975308642</v>
      </c>
      <c r="AW44" s="13">
        <v>0.189455</v>
      </c>
      <c r="AX44" s="13">
        <v>0.119462</v>
      </c>
      <c r="AY44" s="13">
        <v>0.8206</v>
      </c>
      <c r="AZ44" s="13">
        <v>1.941</v>
      </c>
      <c r="BA44" s="13">
        <v>0.151640783834491</v>
      </c>
      <c r="BB44" s="13">
        <v>0.766701375807951</v>
      </c>
      <c r="BC44" s="13">
        <v>0.15038</v>
      </c>
    </row>
    <row r="45" spans="1:55">
      <c r="A45" s="8" t="s">
        <v>211</v>
      </c>
      <c r="B45" s="8" t="s">
        <v>212</v>
      </c>
      <c r="C45" s="8" t="s">
        <v>82</v>
      </c>
      <c r="D45" s="9">
        <v>25575</v>
      </c>
      <c r="E45" s="8" t="s">
        <v>108</v>
      </c>
      <c r="F45" s="8" t="s">
        <v>67</v>
      </c>
      <c r="G45" s="10">
        <v>121148992861.56</v>
      </c>
      <c r="H45" s="10">
        <v>0</v>
      </c>
      <c r="I45" s="9">
        <v>1048765494</v>
      </c>
      <c r="J45" s="9">
        <v>1813734748</v>
      </c>
      <c r="K45" s="11">
        <v>95.7038</v>
      </c>
      <c r="L45" s="12">
        <v>39008</v>
      </c>
      <c r="M45" s="12">
        <v>34722</v>
      </c>
      <c r="N45" s="9">
        <f t="shared" si="0"/>
        <v>4286</v>
      </c>
      <c r="O45" s="13">
        <v>24.29</v>
      </c>
      <c r="P45" s="13">
        <v>10.59</v>
      </c>
      <c r="Q45" s="13">
        <v>5.69</v>
      </c>
      <c r="R45" s="8" t="s">
        <v>213</v>
      </c>
      <c r="S45" s="13">
        <v>271877</v>
      </c>
      <c r="T45" s="13">
        <v>0.1</v>
      </c>
      <c r="U45" s="13">
        <v>21.0483</v>
      </c>
      <c r="V45" s="13">
        <f t="shared" si="1"/>
        <v>0.00475097751362343</v>
      </c>
      <c r="W45" s="13">
        <v>0.68</v>
      </c>
      <c r="X45" s="13">
        <f t="shared" si="2"/>
        <v>0.147058823529412</v>
      </c>
      <c r="Y45" s="13">
        <v>0.0473</v>
      </c>
      <c r="Z45" s="13">
        <v>0.03261</v>
      </c>
      <c r="AA45" s="13">
        <v>0.3514</v>
      </c>
      <c r="AB45" s="13">
        <v>3.9476</v>
      </c>
      <c r="AC45" s="13">
        <v>0.0764</v>
      </c>
      <c r="AD45" s="13">
        <v>0.3556</v>
      </c>
      <c r="AE45" s="13">
        <v>0.1198</v>
      </c>
      <c r="AF45" s="13"/>
      <c r="AG45" s="13">
        <v>37.6016087311869</v>
      </c>
      <c r="AH45" s="13">
        <f t="shared" si="3"/>
        <v>0</v>
      </c>
      <c r="AI45" s="13">
        <v>0.18</v>
      </c>
      <c r="AJ45" s="13">
        <f t="shared" si="4"/>
        <v>0</v>
      </c>
      <c r="AK45" s="13">
        <v>0.014735</v>
      </c>
      <c r="AL45" s="13">
        <v>0.015862</v>
      </c>
      <c r="AM45" s="13">
        <v>0.3966</v>
      </c>
      <c r="AN45" s="13">
        <v>2.7487</v>
      </c>
      <c r="AO45" s="13">
        <v>0.0347597265067527</v>
      </c>
      <c r="AP45" s="13">
        <v>0.51589102451888</v>
      </c>
      <c r="AQ45" s="13">
        <v>1.22591</v>
      </c>
      <c r="AR45" s="13">
        <v>0.1</v>
      </c>
      <c r="AS45" s="13">
        <v>26.9234293804391</v>
      </c>
      <c r="AT45" s="13">
        <f t="shared" si="5"/>
        <v>0.0037142370901923</v>
      </c>
      <c r="AU45" s="13">
        <v>0.53</v>
      </c>
      <c r="AV45" s="13">
        <f t="shared" si="6"/>
        <v>0.188679245283019</v>
      </c>
      <c r="AW45" s="13">
        <v>0.038647</v>
      </c>
      <c r="AX45" s="13">
        <v>0.030662</v>
      </c>
      <c r="AY45" s="13">
        <v>0.3803</v>
      </c>
      <c r="AZ45" s="13">
        <v>3.4216</v>
      </c>
      <c r="BA45" s="13">
        <v>0.0765275531477272</v>
      </c>
      <c r="BB45" s="13">
        <v>0.42651331219416</v>
      </c>
      <c r="BC45" s="13">
        <v>0.37107</v>
      </c>
    </row>
    <row r="46" spans="1:55">
      <c r="A46" s="8" t="s">
        <v>214</v>
      </c>
      <c r="B46" s="8" t="s">
        <v>215</v>
      </c>
      <c r="C46" s="8" t="s">
        <v>57</v>
      </c>
      <c r="D46" s="9">
        <v>26976</v>
      </c>
      <c r="E46" s="8" t="s">
        <v>165</v>
      </c>
      <c r="F46" s="8" t="s">
        <v>59</v>
      </c>
      <c r="G46" s="10">
        <v>3578396000000</v>
      </c>
      <c r="H46" s="10">
        <v>5</v>
      </c>
      <c r="I46" s="9">
        <v>3294925678</v>
      </c>
      <c r="J46" s="9">
        <v>6603590792</v>
      </c>
      <c r="K46" s="11">
        <v>99.9439</v>
      </c>
      <c r="L46" s="12">
        <v>39282</v>
      </c>
      <c r="M46" s="12">
        <v>35530</v>
      </c>
      <c r="N46" s="9">
        <f t="shared" si="0"/>
        <v>3752</v>
      </c>
      <c r="O46" s="13">
        <v>18.74</v>
      </c>
      <c r="P46" s="13">
        <v>18.69</v>
      </c>
      <c r="Q46" s="13">
        <v>10</v>
      </c>
      <c r="R46" s="8" t="s">
        <v>216</v>
      </c>
      <c r="S46" s="13">
        <v>118415</v>
      </c>
      <c r="T46" s="13">
        <v>0.9</v>
      </c>
      <c r="U46" s="13">
        <v>22.5175</v>
      </c>
      <c r="V46" s="13">
        <f t="shared" si="1"/>
        <v>0.0399689130676141</v>
      </c>
      <c r="W46" s="13">
        <v>3.95</v>
      </c>
      <c r="X46" s="13">
        <f t="shared" si="2"/>
        <v>0.227848101265823</v>
      </c>
      <c r="Y46" s="13">
        <v>0.12491</v>
      </c>
      <c r="Z46" s="13">
        <v>0.408534</v>
      </c>
      <c r="AA46" s="13">
        <v>0.0228</v>
      </c>
      <c r="AB46" s="13">
        <v>13.4384</v>
      </c>
      <c r="AC46" s="13">
        <v>1.2758</v>
      </c>
      <c r="AD46" s="13"/>
      <c r="AE46" s="13">
        <v>0.081936</v>
      </c>
      <c r="AF46" s="13">
        <v>0.5</v>
      </c>
      <c r="AG46" s="13">
        <v>32.5521420880342</v>
      </c>
      <c r="AH46" s="13">
        <f t="shared" si="3"/>
        <v>0.0153599722761039</v>
      </c>
      <c r="AI46" s="13">
        <v>3.38</v>
      </c>
      <c r="AJ46" s="13">
        <f t="shared" si="4"/>
        <v>0.14792899408284</v>
      </c>
      <c r="AK46" s="13">
        <v>0.145561</v>
      </c>
      <c r="AL46" s="13">
        <v>0.399661</v>
      </c>
      <c r="AM46" s="13">
        <v>0.0264</v>
      </c>
      <c r="AN46" s="13">
        <v>13.8202</v>
      </c>
      <c r="AO46" s="13">
        <v>1.63734687883343</v>
      </c>
      <c r="AP46" s="13"/>
      <c r="AQ46" s="13">
        <v>0.096733</v>
      </c>
      <c r="AR46" s="13">
        <v>0.6</v>
      </c>
      <c r="AS46" s="13">
        <v>26.8213628468223</v>
      </c>
      <c r="AT46" s="13">
        <f t="shared" si="5"/>
        <v>0.0223702279196855</v>
      </c>
      <c r="AU46" s="13">
        <v>3.75</v>
      </c>
      <c r="AV46" s="13">
        <f t="shared" si="6"/>
        <v>0.16</v>
      </c>
      <c r="AW46" s="13">
        <v>0.138468</v>
      </c>
      <c r="AX46" s="13">
        <v>0.415832</v>
      </c>
      <c r="AY46" s="13">
        <v>0.0243</v>
      </c>
      <c r="AZ46" s="13">
        <v>13.7675</v>
      </c>
      <c r="BA46" s="13">
        <v>2.81516603068929</v>
      </c>
      <c r="BB46" s="13"/>
      <c r="BC46" s="13">
        <v>0.06403</v>
      </c>
    </row>
    <row r="47" spans="1:55">
      <c r="A47" s="8" t="s">
        <v>217</v>
      </c>
      <c r="B47" s="8" t="s">
        <v>218</v>
      </c>
      <c r="C47" s="8" t="s">
        <v>77</v>
      </c>
      <c r="D47" s="9">
        <v>19314</v>
      </c>
      <c r="E47" s="8" t="s">
        <v>158</v>
      </c>
      <c r="F47" s="8" t="s">
        <v>67</v>
      </c>
      <c r="G47" s="10">
        <v>41768829467.35</v>
      </c>
      <c r="H47" s="10">
        <v>4</v>
      </c>
      <c r="I47" s="9">
        <v>1108953264</v>
      </c>
      <c r="J47" s="9">
        <v>2118271050</v>
      </c>
      <c r="K47" s="11">
        <v>98.2266</v>
      </c>
      <c r="L47" s="12">
        <v>39387</v>
      </c>
      <c r="M47" s="12">
        <v>37621</v>
      </c>
      <c r="N47" s="9">
        <f t="shared" si="0"/>
        <v>1766</v>
      </c>
      <c r="O47" s="13">
        <v>36.76</v>
      </c>
      <c r="P47" s="13">
        <v>7.65</v>
      </c>
      <c r="Q47" s="13">
        <v>1.46</v>
      </c>
      <c r="R47" s="8" t="s">
        <v>219</v>
      </c>
      <c r="S47" s="13">
        <v>125117</v>
      </c>
      <c r="T47" s="13">
        <v>0.8</v>
      </c>
      <c r="U47" s="13">
        <v>37.5203</v>
      </c>
      <c r="V47" s="13">
        <f t="shared" si="1"/>
        <v>0.0213217911370645</v>
      </c>
      <c r="W47" s="13">
        <v>1.6091</v>
      </c>
      <c r="X47" s="13">
        <f t="shared" si="2"/>
        <v>0.497172332359704</v>
      </c>
      <c r="Y47" s="13">
        <v>0.152143</v>
      </c>
      <c r="Z47" s="13">
        <v>0.171517</v>
      </c>
      <c r="AA47" s="13">
        <v>0.5386</v>
      </c>
      <c r="AB47" s="13">
        <v>1.7421</v>
      </c>
      <c r="AC47" s="13">
        <v>0.1039</v>
      </c>
      <c r="AD47" s="13">
        <v>0.9006</v>
      </c>
      <c r="AE47" s="13">
        <v>0.030441</v>
      </c>
      <c r="AF47" s="13">
        <v>0.55</v>
      </c>
      <c r="AG47" s="13">
        <v>70.2679910777035</v>
      </c>
      <c r="AH47" s="13">
        <f t="shared" si="3"/>
        <v>0.00782717694877318</v>
      </c>
      <c r="AI47" s="13">
        <v>1.7249</v>
      </c>
      <c r="AJ47" s="13">
        <f t="shared" si="4"/>
        <v>0.318859064293582</v>
      </c>
      <c r="AK47" s="13">
        <v>0.168109</v>
      </c>
      <c r="AL47" s="13">
        <v>0.183166</v>
      </c>
      <c r="AM47" s="13">
        <v>0.5387</v>
      </c>
      <c r="AN47" s="13">
        <v>1.8189</v>
      </c>
      <c r="AO47" s="13">
        <v>0.133730066838634</v>
      </c>
      <c r="AP47" s="13">
        <v>1.21563303072331</v>
      </c>
      <c r="AQ47" s="13">
        <v>0.230923</v>
      </c>
      <c r="AR47" s="13">
        <v>0.6</v>
      </c>
      <c r="AS47" s="13">
        <v>46.7909298539648</v>
      </c>
      <c r="AT47" s="13">
        <f t="shared" si="5"/>
        <v>0.0128229980013778</v>
      </c>
      <c r="AU47" s="13">
        <v>1.6163</v>
      </c>
      <c r="AV47" s="13">
        <f t="shared" si="6"/>
        <v>0.371218214440388</v>
      </c>
      <c r="AW47" s="13">
        <v>0.176227</v>
      </c>
      <c r="AX47" s="13">
        <v>0.176133</v>
      </c>
      <c r="AY47" s="13">
        <v>0.5959</v>
      </c>
      <c r="AZ47" s="13">
        <v>1.778</v>
      </c>
      <c r="BA47" s="13">
        <v>0.153818138444261</v>
      </c>
      <c r="BB47" s="13">
        <v>1.17833226093901</v>
      </c>
      <c r="BC47" s="13">
        <v>0.267476</v>
      </c>
    </row>
    <row r="48" spans="1:55">
      <c r="A48" s="8" t="s">
        <v>220</v>
      </c>
      <c r="B48" s="8" t="s">
        <v>221</v>
      </c>
      <c r="C48" s="8" t="s">
        <v>82</v>
      </c>
      <c r="D48" s="9">
        <v>15551</v>
      </c>
      <c r="E48" s="8" t="s">
        <v>108</v>
      </c>
      <c r="F48" s="8" t="s">
        <v>222</v>
      </c>
      <c r="G48" s="10">
        <v>43288324449.52</v>
      </c>
      <c r="H48" s="10">
        <v>5</v>
      </c>
      <c r="I48" s="9">
        <v>1868084015</v>
      </c>
      <c r="J48" s="9">
        <v>2311847493</v>
      </c>
      <c r="K48" s="11">
        <v>94.697</v>
      </c>
      <c r="L48" s="12">
        <v>39580</v>
      </c>
      <c r="M48" s="12">
        <v>36524</v>
      </c>
      <c r="N48" s="9">
        <f t="shared" si="0"/>
        <v>3056</v>
      </c>
      <c r="O48" s="13">
        <v>10.03</v>
      </c>
      <c r="P48" s="13">
        <v>5.55</v>
      </c>
      <c r="Q48" s="13">
        <v>3.25</v>
      </c>
      <c r="R48" s="8" t="s">
        <v>223</v>
      </c>
      <c r="S48" s="13">
        <v>355987</v>
      </c>
      <c r="T48" s="13">
        <v>0.1</v>
      </c>
      <c r="U48" s="13">
        <v>46.0929</v>
      </c>
      <c r="V48" s="13">
        <f t="shared" si="1"/>
        <v>0.00216953153305607</v>
      </c>
      <c r="W48" s="13">
        <v>0.24</v>
      </c>
      <c r="X48" s="13">
        <f t="shared" si="2"/>
        <v>0.416666666666667</v>
      </c>
      <c r="Y48" s="13">
        <v>0.03217</v>
      </c>
      <c r="Z48" s="13">
        <v>0.021721</v>
      </c>
      <c r="AA48" s="13">
        <v>0.5887</v>
      </c>
      <c r="AB48" s="13">
        <v>2.2773</v>
      </c>
      <c r="AC48" s="13">
        <v>0.1069</v>
      </c>
      <c r="AD48" s="13">
        <v>0.2622</v>
      </c>
      <c r="AE48" s="13">
        <v>0.187924</v>
      </c>
      <c r="AF48" s="13">
        <v>0.1</v>
      </c>
      <c r="AG48" s="13">
        <v>39.9967152231153</v>
      </c>
      <c r="AH48" s="13">
        <f t="shared" si="3"/>
        <v>0.00250020531541568</v>
      </c>
      <c r="AI48" s="13">
        <v>0.24</v>
      </c>
      <c r="AJ48" s="13">
        <f t="shared" si="4"/>
        <v>0.416666666666667</v>
      </c>
      <c r="AK48" s="13">
        <v>0.033828</v>
      </c>
      <c r="AL48" s="13">
        <v>0.026494</v>
      </c>
      <c r="AM48" s="13">
        <v>0.5858</v>
      </c>
      <c r="AN48" s="13">
        <v>1.9365</v>
      </c>
      <c r="AO48" s="13">
        <v>0.0335150586069609</v>
      </c>
      <c r="AP48" s="13">
        <v>0.400471519331235</v>
      </c>
      <c r="AQ48" s="13">
        <v>0.027664</v>
      </c>
      <c r="AR48" s="13">
        <v>0.1</v>
      </c>
      <c r="AS48" s="13">
        <v>56.4483334467069</v>
      </c>
      <c r="AT48" s="13">
        <f t="shared" si="5"/>
        <v>0.00177153148541419</v>
      </c>
      <c r="AU48" s="13">
        <v>0.28</v>
      </c>
      <c r="AV48" s="13">
        <f t="shared" si="6"/>
        <v>0.357142857142857</v>
      </c>
      <c r="AW48" s="13">
        <v>0.039322</v>
      </c>
      <c r="AX48" s="13">
        <v>0.031203</v>
      </c>
      <c r="AY48" s="13">
        <v>0.556</v>
      </c>
      <c r="AZ48" s="13">
        <v>2.1144</v>
      </c>
      <c r="BA48" s="13">
        <v>0.0177990816758987</v>
      </c>
      <c r="BB48" s="13">
        <v>0.310471510870204</v>
      </c>
      <c r="BC48" s="13">
        <v>0.044107</v>
      </c>
    </row>
    <row r="49" spans="1:55">
      <c r="A49" s="8" t="s">
        <v>224</v>
      </c>
      <c r="B49" s="8" t="s">
        <v>225</v>
      </c>
      <c r="C49" s="8" t="s">
        <v>82</v>
      </c>
      <c r="D49" s="9">
        <v>23891</v>
      </c>
      <c r="E49" s="8" t="s">
        <v>165</v>
      </c>
      <c r="F49" s="8" t="s">
        <v>67</v>
      </c>
      <c r="G49" s="10">
        <v>52144046937.12</v>
      </c>
      <c r="H49" s="10">
        <v>5</v>
      </c>
      <c r="I49" s="9">
        <v>1842179102</v>
      </c>
      <c r="J49" s="9">
        <v>3286755574</v>
      </c>
      <c r="K49" s="11">
        <v>64.3784</v>
      </c>
      <c r="L49" s="12">
        <v>39588</v>
      </c>
      <c r="M49" s="12">
        <v>36962</v>
      </c>
      <c r="N49" s="9">
        <f t="shared" si="0"/>
        <v>2626</v>
      </c>
      <c r="O49" s="13">
        <v>31.15</v>
      </c>
      <c r="P49" s="13">
        <v>8.92</v>
      </c>
      <c r="Q49" s="13">
        <v>4.6</v>
      </c>
      <c r="R49" s="8" t="s">
        <v>226</v>
      </c>
      <c r="S49" s="13">
        <v>186665</v>
      </c>
      <c r="T49" s="13">
        <v>0.458</v>
      </c>
      <c r="U49" s="13">
        <v>17.1056</v>
      </c>
      <c r="V49" s="13">
        <f t="shared" si="1"/>
        <v>0.0267748573566551</v>
      </c>
      <c r="W49" s="13">
        <v>0.9</v>
      </c>
      <c r="X49" s="13">
        <f t="shared" si="2"/>
        <v>0.508888888888889</v>
      </c>
      <c r="Y49" s="13">
        <v>0.082144</v>
      </c>
      <c r="Z49" s="13">
        <v>0.090711</v>
      </c>
      <c r="AA49" s="13">
        <v>0.6094</v>
      </c>
      <c r="AB49" s="13">
        <v>1.4929</v>
      </c>
      <c r="AC49" s="13">
        <v>0.0842</v>
      </c>
      <c r="AD49" s="13">
        <v>0.8186</v>
      </c>
      <c r="AE49" s="13">
        <v>-0.00116</v>
      </c>
      <c r="AF49" s="13">
        <v>0.241</v>
      </c>
      <c r="AG49" s="13">
        <v>15.7139062350122</v>
      </c>
      <c r="AH49" s="13">
        <f t="shared" si="3"/>
        <v>0.0153367339982612</v>
      </c>
      <c r="AI49" s="13">
        <v>0.79</v>
      </c>
      <c r="AJ49" s="13">
        <f t="shared" si="4"/>
        <v>0.30506329113924</v>
      </c>
      <c r="AK49" s="13">
        <v>0.094</v>
      </c>
      <c r="AL49" s="13">
        <v>0.074</v>
      </c>
      <c r="AM49" s="13">
        <v>0.6769</v>
      </c>
      <c r="AN49" s="13">
        <v>1.8261</v>
      </c>
      <c r="AO49" s="13">
        <v>0.0344699785745862</v>
      </c>
      <c r="AP49" s="13">
        <v>0.472425510373904</v>
      </c>
      <c r="AQ49" s="13">
        <v>-0.069136</v>
      </c>
      <c r="AR49" s="13">
        <v>0.382</v>
      </c>
      <c r="AS49" s="13">
        <v>20.4016092408633</v>
      </c>
      <c r="AT49" s="13">
        <f t="shared" si="5"/>
        <v>0.0187240131643574</v>
      </c>
      <c r="AU49" s="13">
        <v>2.31</v>
      </c>
      <c r="AV49" s="13">
        <f t="shared" si="6"/>
        <v>0.165367965367965</v>
      </c>
      <c r="AW49" s="13">
        <v>0.243143</v>
      </c>
      <c r="AX49" s="13">
        <v>0.232019</v>
      </c>
      <c r="AY49" s="13">
        <v>0.65</v>
      </c>
      <c r="AZ49" s="13">
        <v>1.6371</v>
      </c>
      <c r="BA49" s="13">
        <v>0.142738013397122</v>
      </c>
      <c r="BB49" s="13">
        <v>1.02914170580883</v>
      </c>
      <c r="BC49" s="13">
        <v>0.054079</v>
      </c>
    </row>
    <row r="50" spans="1:55">
      <c r="A50" s="8" t="s">
        <v>227</v>
      </c>
      <c r="B50" s="8" t="s">
        <v>228</v>
      </c>
      <c r="C50" s="8" t="s">
        <v>82</v>
      </c>
      <c r="D50" s="9">
        <v>81819</v>
      </c>
      <c r="E50" s="8" t="s">
        <v>90</v>
      </c>
      <c r="F50" s="8" t="s">
        <v>67</v>
      </c>
      <c r="G50" s="10">
        <v>94822692862.82</v>
      </c>
      <c r="H50" s="10">
        <v>0</v>
      </c>
      <c r="I50" s="9">
        <v>2448911629</v>
      </c>
      <c r="J50" s="9">
        <v>3545644932</v>
      </c>
      <c r="K50" s="11">
        <v>88.5161</v>
      </c>
      <c r="L50" s="12">
        <v>39590</v>
      </c>
      <c r="M50" s="12">
        <v>37067</v>
      </c>
      <c r="N50" s="9">
        <f t="shared" si="0"/>
        <v>2523</v>
      </c>
      <c r="O50" s="13">
        <v>15.69</v>
      </c>
      <c r="P50" s="13">
        <v>8.12</v>
      </c>
      <c r="Q50" s="13">
        <v>7.08</v>
      </c>
      <c r="R50" s="8" t="s">
        <v>229</v>
      </c>
      <c r="S50" s="13">
        <v>340706</v>
      </c>
      <c r="T50" s="13">
        <v>0.15</v>
      </c>
      <c r="U50" s="13">
        <v>21.0388</v>
      </c>
      <c r="V50" s="13">
        <f t="shared" si="1"/>
        <v>0.00712968420252106</v>
      </c>
      <c r="W50" s="13">
        <v>0.79</v>
      </c>
      <c r="X50" s="13">
        <f t="shared" si="2"/>
        <v>0.189873417721519</v>
      </c>
      <c r="Y50" s="13">
        <v>0.083287</v>
      </c>
      <c r="Z50" s="13">
        <v>0.025619</v>
      </c>
      <c r="AA50" s="13">
        <v>1.2905</v>
      </c>
      <c r="AB50" s="13">
        <v>2.4447</v>
      </c>
      <c r="AC50" s="13">
        <v>0.0614</v>
      </c>
      <c r="AD50" s="13">
        <v>0.4163</v>
      </c>
      <c r="AE50" s="13">
        <v>0.024144</v>
      </c>
      <c r="AF50" s="13">
        <v>0.1</v>
      </c>
      <c r="AG50" s="13">
        <v>29.7649247055542</v>
      </c>
      <c r="AH50" s="13">
        <f t="shared" si="3"/>
        <v>0.00335965909503342</v>
      </c>
      <c r="AI50" s="13">
        <v>0.52</v>
      </c>
      <c r="AJ50" s="13">
        <f t="shared" si="4"/>
        <v>0.192307692307692</v>
      </c>
      <c r="AK50" s="13">
        <v>0.06157</v>
      </c>
      <c r="AL50" s="13">
        <v>0.017075</v>
      </c>
      <c r="AM50" s="13">
        <v>1.5174</v>
      </c>
      <c r="AN50" s="13">
        <v>2.4332</v>
      </c>
      <c r="AO50" s="13">
        <v>0.0792904042340207</v>
      </c>
      <c r="AP50" s="13">
        <v>0.305408549277967</v>
      </c>
      <c r="AQ50" s="13">
        <v>0.340992</v>
      </c>
      <c r="AR50" s="13">
        <v>0.1</v>
      </c>
      <c r="AS50" s="13">
        <v>19.4000965186742</v>
      </c>
      <c r="AT50" s="13">
        <f t="shared" si="5"/>
        <v>0.00515461353007918</v>
      </c>
      <c r="AU50" s="13">
        <v>0.32</v>
      </c>
      <c r="AV50" s="13">
        <f t="shared" si="6"/>
        <v>0.3125</v>
      </c>
      <c r="AW50" s="13">
        <v>0.036087</v>
      </c>
      <c r="AX50" s="13">
        <v>0.010342</v>
      </c>
      <c r="AY50" s="13">
        <v>1.3063</v>
      </c>
      <c r="AZ50" s="13">
        <v>2.5027</v>
      </c>
      <c r="BA50" s="13">
        <v>0.0826982401568298</v>
      </c>
      <c r="BB50" s="13">
        <v>0.462418022194071</v>
      </c>
      <c r="BC50" s="13">
        <v>-0.060255</v>
      </c>
    </row>
    <row r="51" spans="1:55">
      <c r="A51" s="8" t="s">
        <v>230</v>
      </c>
      <c r="B51" s="8" t="s">
        <v>231</v>
      </c>
      <c r="C51" s="8" t="s">
        <v>232</v>
      </c>
      <c r="D51" s="9">
        <v>3350</v>
      </c>
      <c r="E51" s="8" t="s">
        <v>198</v>
      </c>
      <c r="F51" s="8" t="s">
        <v>67</v>
      </c>
      <c r="G51" s="10">
        <v>38020411474.4</v>
      </c>
      <c r="H51" s="10">
        <v>3</v>
      </c>
      <c r="I51" s="9">
        <v>3803605518</v>
      </c>
      <c r="J51" s="9">
        <v>6637984837</v>
      </c>
      <c r="K51" s="11">
        <v>99.9473</v>
      </c>
      <c r="L51" s="12">
        <v>39622</v>
      </c>
      <c r="M51" s="12">
        <v>32445</v>
      </c>
      <c r="N51" s="9">
        <f t="shared" si="0"/>
        <v>7177</v>
      </c>
      <c r="O51" s="13">
        <v>23.31</v>
      </c>
      <c r="P51" s="13">
        <v>6.58</v>
      </c>
      <c r="Q51" s="13">
        <v>4.73</v>
      </c>
      <c r="R51" s="8" t="s">
        <v>233</v>
      </c>
      <c r="S51" s="13">
        <v>109784</v>
      </c>
      <c r="T51" s="13">
        <v>0.033</v>
      </c>
      <c r="U51" s="13">
        <v>7.361</v>
      </c>
      <c r="V51" s="13">
        <f t="shared" si="1"/>
        <v>0.00448308653715528</v>
      </c>
      <c r="W51" s="13">
        <v>0.33</v>
      </c>
      <c r="X51" s="13">
        <f t="shared" si="2"/>
        <v>0.1</v>
      </c>
      <c r="Y51" s="13">
        <v>0.071257</v>
      </c>
      <c r="Z51" s="13">
        <v>0.268306</v>
      </c>
      <c r="AA51" s="13">
        <v>0.2494</v>
      </c>
      <c r="AB51" s="13">
        <v>1.065</v>
      </c>
      <c r="AC51" s="13">
        <v>-0.059</v>
      </c>
      <c r="AD51" s="13">
        <v>1.8058</v>
      </c>
      <c r="AE51" s="13">
        <v>0.026683</v>
      </c>
      <c r="AF51" s="13">
        <v>0.03</v>
      </c>
      <c r="AG51" s="13">
        <v>6.02948357672586</v>
      </c>
      <c r="AH51" s="13">
        <f t="shared" si="3"/>
        <v>0.00497555049586695</v>
      </c>
      <c r="AI51" s="13">
        <v>0.28</v>
      </c>
      <c r="AJ51" s="13">
        <f t="shared" si="4"/>
        <v>0.107142857142857</v>
      </c>
      <c r="AK51" s="13">
        <v>0.068715</v>
      </c>
      <c r="AL51" s="13">
        <v>0.285205</v>
      </c>
      <c r="AM51" s="13">
        <v>0.2277</v>
      </c>
      <c r="AN51" s="13">
        <v>1.0543</v>
      </c>
      <c r="AO51" s="13">
        <v>0.262759842329411</v>
      </c>
      <c r="AP51" s="13">
        <v>2.5945015212263</v>
      </c>
      <c r="AQ51" s="13">
        <v>0.531627</v>
      </c>
      <c r="AR51" s="13">
        <v>0.03</v>
      </c>
      <c r="AS51" s="13">
        <v>7.00838335968209</v>
      </c>
      <c r="AT51" s="13">
        <f t="shared" si="5"/>
        <v>0.0042805877561699</v>
      </c>
      <c r="AU51" s="13">
        <v>0.27</v>
      </c>
      <c r="AV51" s="13">
        <f t="shared" si="6"/>
        <v>0.111111111111111</v>
      </c>
      <c r="AW51" s="13">
        <v>0.060886</v>
      </c>
      <c r="AX51" s="13">
        <v>0.223185</v>
      </c>
      <c r="AY51" s="13">
        <v>0.2553</v>
      </c>
      <c r="AZ51" s="13">
        <v>1.0673</v>
      </c>
      <c r="BA51" s="13">
        <v>0.286024100085476</v>
      </c>
      <c r="BB51" s="13">
        <v>1.87042452204691</v>
      </c>
      <c r="BC51" s="13">
        <v>0.212687</v>
      </c>
    </row>
    <row r="52" spans="1:55">
      <c r="A52" s="8" t="s">
        <v>234</v>
      </c>
      <c r="B52" s="8" t="s">
        <v>235</v>
      </c>
      <c r="C52" s="8" t="s">
        <v>89</v>
      </c>
      <c r="D52" s="9">
        <v>21532</v>
      </c>
      <c r="E52" s="8" t="s">
        <v>83</v>
      </c>
      <c r="F52" s="8" t="s">
        <v>67</v>
      </c>
      <c r="G52" s="10">
        <v>59504597379.93</v>
      </c>
      <c r="H52" s="10">
        <v>1</v>
      </c>
      <c r="I52" s="9">
        <v>580850522</v>
      </c>
      <c r="J52" s="9">
        <v>1506445074</v>
      </c>
      <c r="K52" s="11">
        <v>99.9976</v>
      </c>
      <c r="L52" s="12">
        <v>40123</v>
      </c>
      <c r="M52" s="12">
        <v>37617</v>
      </c>
      <c r="N52" s="9">
        <f t="shared" si="0"/>
        <v>2506</v>
      </c>
      <c r="O52" s="13">
        <v>34.18</v>
      </c>
      <c r="P52" s="13">
        <v>17.59</v>
      </c>
      <c r="Q52" s="13">
        <v>9.67</v>
      </c>
      <c r="R52" s="8" t="s">
        <v>236</v>
      </c>
      <c r="S52" s="13">
        <v>164082</v>
      </c>
      <c r="T52" s="13">
        <v>2.317</v>
      </c>
      <c r="U52" s="13">
        <v>89.9225</v>
      </c>
      <c r="V52" s="13">
        <f t="shared" si="1"/>
        <v>0.025766632377881</v>
      </c>
      <c r="W52" s="13">
        <v>4.4299</v>
      </c>
      <c r="X52" s="13">
        <f t="shared" si="2"/>
        <v>0.523036637395878</v>
      </c>
      <c r="Y52" s="13">
        <v>0.128921</v>
      </c>
      <c r="Z52" s="13">
        <v>0.230863</v>
      </c>
      <c r="AA52" s="13">
        <v>0.4211</v>
      </c>
      <c r="AB52" s="13">
        <v>1.3247</v>
      </c>
      <c r="AC52" s="13">
        <v>0.1603</v>
      </c>
      <c r="AD52" s="13">
        <v>1.8706</v>
      </c>
      <c r="AE52" s="13">
        <v>-0.128296</v>
      </c>
      <c r="AF52" s="13">
        <v>3.74</v>
      </c>
      <c r="AG52" s="13">
        <v>156.501116225712</v>
      </c>
      <c r="AH52" s="13">
        <f t="shared" si="3"/>
        <v>0.0238975931303009</v>
      </c>
      <c r="AI52" s="13">
        <v>6.2251</v>
      </c>
      <c r="AJ52" s="13">
        <f t="shared" si="4"/>
        <v>0.600793561549212</v>
      </c>
      <c r="AK52" s="13">
        <v>0.208486</v>
      </c>
      <c r="AL52" s="13">
        <v>0.311889</v>
      </c>
      <c r="AM52" s="13">
        <v>0.4435</v>
      </c>
      <c r="AN52" s="13">
        <v>1.5091</v>
      </c>
      <c r="AO52" s="13">
        <v>0.12116381101495</v>
      </c>
      <c r="AP52" s="13">
        <v>1.65089870050977</v>
      </c>
      <c r="AQ52" s="13">
        <v>0.187562</v>
      </c>
      <c r="AR52" s="13">
        <v>4.66</v>
      </c>
      <c r="AS52" s="13">
        <v>144.986732737129</v>
      </c>
      <c r="AT52" s="13">
        <f t="shared" si="5"/>
        <v>0.0321408718716967</v>
      </c>
      <c r="AU52" s="13">
        <v>6.6487</v>
      </c>
      <c r="AV52" s="13">
        <f t="shared" si="6"/>
        <v>0.700888895573571</v>
      </c>
      <c r="AW52" s="13">
        <v>0.2015</v>
      </c>
      <c r="AX52" s="13">
        <v>0.302502</v>
      </c>
      <c r="AY52" s="13">
        <v>0.4809</v>
      </c>
      <c r="AZ52" s="13">
        <v>1.3857</v>
      </c>
      <c r="BA52" s="13">
        <v>0.18505613431596</v>
      </c>
      <c r="BB52" s="13">
        <v>1.87417723575907</v>
      </c>
      <c r="BC52" s="13">
        <v>0.100362</v>
      </c>
    </row>
    <row r="53" spans="1:55">
      <c r="A53" s="8" t="s">
        <v>237</v>
      </c>
      <c r="B53" s="8" t="s">
        <v>238</v>
      </c>
      <c r="C53" s="8" t="s">
        <v>82</v>
      </c>
      <c r="D53" s="9">
        <v>41821</v>
      </c>
      <c r="E53" s="8" t="s">
        <v>58</v>
      </c>
      <c r="F53" s="8" t="s">
        <v>67</v>
      </c>
      <c r="G53" s="10">
        <v>50815503883.14</v>
      </c>
      <c r="H53" s="10">
        <v>13</v>
      </c>
      <c r="I53" s="9">
        <v>751931944</v>
      </c>
      <c r="J53" s="9">
        <v>1663749970</v>
      </c>
      <c r="K53" s="11">
        <v>99.9262</v>
      </c>
      <c r="L53" s="12">
        <v>40144</v>
      </c>
      <c r="M53" s="12">
        <v>37994</v>
      </c>
      <c r="N53" s="9">
        <f t="shared" si="0"/>
        <v>2150</v>
      </c>
      <c r="O53" s="13">
        <v>54.73</v>
      </c>
      <c r="P53" s="13">
        <v>3.95</v>
      </c>
      <c r="Q53" s="13">
        <v>1.68</v>
      </c>
      <c r="R53" s="8"/>
      <c r="S53" s="13">
        <v>18987</v>
      </c>
      <c r="T53" s="13">
        <v>1.1</v>
      </c>
      <c r="U53" s="13">
        <v>45.1698</v>
      </c>
      <c r="V53" s="13">
        <f t="shared" si="1"/>
        <v>0.0243525541401556</v>
      </c>
      <c r="W53" s="13">
        <v>2.71</v>
      </c>
      <c r="X53" s="13">
        <f t="shared" si="2"/>
        <v>0.40590405904059</v>
      </c>
      <c r="Y53" s="13">
        <v>0.206831</v>
      </c>
      <c r="Z53" s="13">
        <v>0.040803</v>
      </c>
      <c r="AA53" s="13">
        <v>2.4675</v>
      </c>
      <c r="AB53" s="13">
        <v>2.1328</v>
      </c>
      <c r="AC53" s="13">
        <v>0.0698</v>
      </c>
      <c r="AD53" s="13">
        <v>0.4407</v>
      </c>
      <c r="AE53" s="13">
        <v>-0.013057</v>
      </c>
      <c r="AF53" s="13">
        <v>0.45</v>
      </c>
      <c r="AG53" s="13">
        <v>61.375006674667</v>
      </c>
      <c r="AH53" s="13">
        <f t="shared" si="3"/>
        <v>0.00733197476271299</v>
      </c>
      <c r="AI53" s="13">
        <v>1.79</v>
      </c>
      <c r="AJ53" s="13">
        <f t="shared" si="4"/>
        <v>0.251396648044693</v>
      </c>
      <c r="AK53" s="13">
        <v>0.182998</v>
      </c>
      <c r="AL53" s="13">
        <v>0.030219</v>
      </c>
      <c r="AM53" s="13">
        <v>2.6216</v>
      </c>
      <c r="AN53" s="13">
        <v>2.4743</v>
      </c>
      <c r="AO53" s="13">
        <v>0.0651087911847053</v>
      </c>
      <c r="AP53" s="13">
        <v>0.17022356981436</v>
      </c>
      <c r="AQ53" s="13">
        <v>0.21632</v>
      </c>
      <c r="AR53" s="13">
        <v>0.5</v>
      </c>
      <c r="AS53" s="13">
        <v>51.5531005160002</v>
      </c>
      <c r="AT53" s="13">
        <f t="shared" si="5"/>
        <v>0.00969873770918625</v>
      </c>
      <c r="AU53" s="13">
        <v>1.66</v>
      </c>
      <c r="AV53" s="13">
        <f t="shared" si="6"/>
        <v>0.301204819277108</v>
      </c>
      <c r="AW53" s="13">
        <v>0.14631</v>
      </c>
      <c r="AX53" s="13">
        <v>0.024729</v>
      </c>
      <c r="AY53" s="13">
        <v>2.6098</v>
      </c>
      <c r="AZ53" s="13">
        <v>2.3747</v>
      </c>
      <c r="BA53" s="13">
        <v>0.109358287297276</v>
      </c>
      <c r="BB53" s="13">
        <v>0.367542422614495</v>
      </c>
      <c r="BC53" s="13">
        <v>0.108883</v>
      </c>
    </row>
    <row r="54" spans="1:55">
      <c r="A54" s="8" t="s">
        <v>239</v>
      </c>
      <c r="B54" s="8" t="s">
        <v>240</v>
      </c>
      <c r="C54" s="8" t="s">
        <v>82</v>
      </c>
      <c r="D54" s="9">
        <v>147189</v>
      </c>
      <c r="E54" s="8" t="s">
        <v>58</v>
      </c>
      <c r="F54" s="8" t="s">
        <v>184</v>
      </c>
      <c r="G54" s="10">
        <v>217925217000</v>
      </c>
      <c r="H54" s="10">
        <v>4</v>
      </c>
      <c r="I54" s="9">
        <v>2310098555</v>
      </c>
      <c r="J54" s="9">
        <v>5039430409</v>
      </c>
      <c r="K54" s="11">
        <v>94.6936</v>
      </c>
      <c r="L54" s="12">
        <v>40214</v>
      </c>
      <c r="M54" s="12">
        <v>37763</v>
      </c>
      <c r="N54" s="9">
        <f t="shared" si="0"/>
        <v>2451</v>
      </c>
      <c r="O54" s="13">
        <v>46.87</v>
      </c>
      <c r="P54" s="13">
        <v>5.15</v>
      </c>
      <c r="Q54" s="13">
        <v>4.76</v>
      </c>
      <c r="R54" s="8" t="s">
        <v>241</v>
      </c>
      <c r="S54" s="13">
        <v>269570</v>
      </c>
      <c r="T54" s="13">
        <v>0.44</v>
      </c>
      <c r="U54" s="13">
        <v>39.2448</v>
      </c>
      <c r="V54" s="13">
        <f t="shared" si="1"/>
        <v>0.0112116764514025</v>
      </c>
      <c r="W54" s="13">
        <v>2.11</v>
      </c>
      <c r="X54" s="13">
        <f t="shared" si="2"/>
        <v>0.208530805687204</v>
      </c>
      <c r="Y54" s="13">
        <v>0.110079</v>
      </c>
      <c r="Z54" s="13">
        <v>0.035929</v>
      </c>
      <c r="AA54" s="13">
        <v>1.3067</v>
      </c>
      <c r="AB54" s="13">
        <v>2.3558</v>
      </c>
      <c r="AC54" s="13">
        <v>0.1132</v>
      </c>
      <c r="AD54" s="13">
        <v>0.6296</v>
      </c>
      <c r="AE54" s="13">
        <v>0.100657</v>
      </c>
      <c r="AF54" s="13">
        <v>0.25</v>
      </c>
      <c r="AG54" s="13">
        <v>52.4772849896508</v>
      </c>
      <c r="AH54" s="13">
        <f t="shared" si="3"/>
        <v>0.00476396597212114</v>
      </c>
      <c r="AI54" s="13">
        <v>1.27</v>
      </c>
      <c r="AJ54" s="13">
        <f t="shared" si="4"/>
        <v>0.196850393700787</v>
      </c>
      <c r="AK54" s="13">
        <v>0.072973</v>
      </c>
      <c r="AL54" s="13">
        <v>0.026183</v>
      </c>
      <c r="AM54" s="13">
        <v>1.2536</v>
      </c>
      <c r="AN54" s="13">
        <v>2.522</v>
      </c>
      <c r="AO54" s="13">
        <v>0.122258388668837</v>
      </c>
      <c r="AP54" s="13">
        <v>0.626754766979721</v>
      </c>
      <c r="AQ54" s="13">
        <v>0.29106</v>
      </c>
      <c r="AR54" s="13">
        <v>0.6</v>
      </c>
      <c r="AS54" s="13">
        <v>48.8802109676381</v>
      </c>
      <c r="AT54" s="13">
        <f t="shared" si="5"/>
        <v>0.0122749061045837</v>
      </c>
      <c r="AU54" s="13">
        <v>1.7</v>
      </c>
      <c r="AV54" s="13">
        <f t="shared" si="6"/>
        <v>0.352941176470588</v>
      </c>
      <c r="AW54" s="13">
        <v>0.091978</v>
      </c>
      <c r="AX54" s="13">
        <v>0.030617</v>
      </c>
      <c r="AY54" s="13">
        <v>1.1791</v>
      </c>
      <c r="AZ54" s="13">
        <v>2.4481</v>
      </c>
      <c r="BA54" s="13">
        <v>0.102820635362096</v>
      </c>
      <c r="BB54" s="13">
        <v>0.66240614682804</v>
      </c>
      <c r="BC54" s="13">
        <v>-0.033949</v>
      </c>
    </row>
    <row r="55" spans="1:55">
      <c r="A55" s="8" t="s">
        <v>242</v>
      </c>
      <c r="B55" s="8" t="s">
        <v>243</v>
      </c>
      <c r="C55" s="8" t="s">
        <v>89</v>
      </c>
      <c r="D55" s="9">
        <v>16354</v>
      </c>
      <c r="E55" s="8" t="s">
        <v>132</v>
      </c>
      <c r="F55" s="8" t="s">
        <v>67</v>
      </c>
      <c r="G55" s="10">
        <v>85894227938.23</v>
      </c>
      <c r="H55" s="10">
        <v>0</v>
      </c>
      <c r="I55" s="9">
        <v>373326231</v>
      </c>
      <c r="J55" s="9">
        <v>724475958</v>
      </c>
      <c r="K55" s="11">
        <v>99.92</v>
      </c>
      <c r="L55" s="12">
        <v>40253</v>
      </c>
      <c r="M55" s="12">
        <v>37162</v>
      </c>
      <c r="N55" s="9">
        <f t="shared" si="0"/>
        <v>3091</v>
      </c>
      <c r="O55" s="13">
        <v>33.21</v>
      </c>
      <c r="P55" s="13">
        <v>12.77</v>
      </c>
      <c r="Q55" s="13">
        <v>9.31</v>
      </c>
      <c r="R55" s="8" t="s">
        <v>244</v>
      </c>
      <c r="S55" s="13">
        <v>72332</v>
      </c>
      <c r="T55" s="13">
        <v>1.06</v>
      </c>
      <c r="U55" s="13">
        <v>338.7371</v>
      </c>
      <c r="V55" s="13">
        <f t="shared" si="1"/>
        <v>0.00312927045782703</v>
      </c>
      <c r="W55" s="13">
        <v>10.5725</v>
      </c>
      <c r="X55" s="13">
        <f t="shared" si="2"/>
        <v>0.10026010877276</v>
      </c>
      <c r="Y55" s="13">
        <v>0.202754</v>
      </c>
      <c r="Z55" s="13">
        <v>0.190819</v>
      </c>
      <c r="AA55" s="13">
        <v>0.5001</v>
      </c>
      <c r="AB55" s="13">
        <v>2.1521</v>
      </c>
      <c r="AC55" s="13">
        <v>0.0527</v>
      </c>
      <c r="AD55" s="13">
        <v>0.5607</v>
      </c>
      <c r="AE55" s="13">
        <v>0.351395</v>
      </c>
      <c r="AF55" s="13">
        <v>0.445</v>
      </c>
      <c r="AG55" s="13">
        <v>269.594486928691</v>
      </c>
      <c r="AH55" s="13">
        <f t="shared" si="3"/>
        <v>0.00165062722561424</v>
      </c>
      <c r="AI55" s="13">
        <v>4.4612</v>
      </c>
      <c r="AJ55" s="13">
        <f t="shared" si="4"/>
        <v>0.0997489464718013</v>
      </c>
      <c r="AK55" s="13">
        <v>0.128411</v>
      </c>
      <c r="AL55" s="13">
        <v>0.172997</v>
      </c>
      <c r="AM55" s="13">
        <v>0.3991</v>
      </c>
      <c r="AN55" s="13">
        <v>2.0087</v>
      </c>
      <c r="AO55" s="13">
        <v>-0.0495597400076434</v>
      </c>
      <c r="AP55" s="13">
        <v>0.746986909046506</v>
      </c>
      <c r="AQ55" s="13">
        <v>0.516822</v>
      </c>
      <c r="AR55" s="13">
        <v>0.78</v>
      </c>
      <c r="AS55" s="13">
        <v>271.892221378286</v>
      </c>
      <c r="AT55" s="13">
        <f t="shared" si="5"/>
        <v>0.00286878379986745</v>
      </c>
      <c r="AU55" s="13">
        <v>7.3623</v>
      </c>
      <c r="AV55" s="13">
        <f t="shared" si="6"/>
        <v>0.10594515300925</v>
      </c>
      <c r="AW55" s="13">
        <v>0.176776</v>
      </c>
      <c r="AX55" s="13">
        <v>0.182646</v>
      </c>
      <c r="AY55" s="13">
        <v>0.4591</v>
      </c>
      <c r="AZ55" s="13">
        <v>2.1802</v>
      </c>
      <c r="BA55" s="13">
        <v>0.107113486420089</v>
      </c>
      <c r="BB55" s="13">
        <v>0.702001754432565</v>
      </c>
      <c r="BC55" s="13">
        <v>0.50322</v>
      </c>
    </row>
    <row r="56" spans="1:55">
      <c r="A56" s="8" t="s">
        <v>245</v>
      </c>
      <c r="B56" s="8" t="s">
        <v>246</v>
      </c>
      <c r="C56" s="8" t="s">
        <v>82</v>
      </c>
      <c r="D56" s="9">
        <v>23515</v>
      </c>
      <c r="E56" s="8" t="s">
        <v>83</v>
      </c>
      <c r="F56" s="8" t="s">
        <v>67</v>
      </c>
      <c r="G56" s="10">
        <v>51894655231.13</v>
      </c>
      <c r="H56" s="10">
        <v>7</v>
      </c>
      <c r="I56" s="9">
        <v>1221372084</v>
      </c>
      <c r="J56" s="9">
        <v>1831607532</v>
      </c>
      <c r="K56" s="11">
        <v>75.6888</v>
      </c>
      <c r="L56" s="12">
        <v>40277</v>
      </c>
      <c r="M56" s="12">
        <v>36096</v>
      </c>
      <c r="N56" s="9">
        <f t="shared" si="0"/>
        <v>4181</v>
      </c>
      <c r="O56" s="13">
        <v>16.53</v>
      </c>
      <c r="P56" s="13">
        <v>13.51</v>
      </c>
      <c r="Q56" s="13">
        <v>3.75</v>
      </c>
      <c r="R56" s="8" t="s">
        <v>247</v>
      </c>
      <c r="S56" s="13">
        <v>79776</v>
      </c>
      <c r="T56" s="13">
        <v>0.07</v>
      </c>
      <c r="U56" s="13">
        <v>23.1606</v>
      </c>
      <c r="V56" s="13">
        <f t="shared" si="1"/>
        <v>0.00302237420446793</v>
      </c>
      <c r="W56" s="13">
        <v>0.64</v>
      </c>
      <c r="X56" s="13">
        <f t="shared" si="2"/>
        <v>0.109375</v>
      </c>
      <c r="Y56" s="13">
        <v>0.058732</v>
      </c>
      <c r="Z56" s="13">
        <v>0.029509</v>
      </c>
      <c r="AA56" s="13">
        <v>0.8136</v>
      </c>
      <c r="AB56" s="13">
        <v>2.4449</v>
      </c>
      <c r="AC56" s="13">
        <v>0.1356</v>
      </c>
      <c r="AD56" s="13">
        <v>0.3788</v>
      </c>
      <c r="AE56" s="13">
        <v>0.092691</v>
      </c>
      <c r="AF56" s="13">
        <v>0.11</v>
      </c>
      <c r="AG56" s="13">
        <v>22.9956079692446</v>
      </c>
      <c r="AH56" s="13">
        <f t="shared" si="3"/>
        <v>0.00478352214679947</v>
      </c>
      <c r="AI56" s="13">
        <v>1.39</v>
      </c>
      <c r="AJ56" s="13">
        <f t="shared" si="4"/>
        <v>0.079136690647482</v>
      </c>
      <c r="AK56" s="13">
        <v>0.15306</v>
      </c>
      <c r="AL56" s="13">
        <v>0.07496</v>
      </c>
      <c r="AM56" s="13">
        <v>0.8048</v>
      </c>
      <c r="AN56" s="13">
        <v>2.5369</v>
      </c>
      <c r="AO56" s="13">
        <v>0.146607425563464</v>
      </c>
      <c r="AP56" s="13">
        <v>0.429238708158785</v>
      </c>
      <c r="AQ56" s="13">
        <v>-0.0067</v>
      </c>
      <c r="AR56" s="13">
        <v>0.25</v>
      </c>
      <c r="AS56" s="13">
        <v>23.0765242617883</v>
      </c>
      <c r="AT56" s="13">
        <f t="shared" si="5"/>
        <v>0.0108335205581183</v>
      </c>
      <c r="AU56" s="13">
        <v>1.15</v>
      </c>
      <c r="AV56" s="13">
        <f t="shared" si="6"/>
        <v>0.217391304347826</v>
      </c>
      <c r="AW56" s="13">
        <v>0.113877</v>
      </c>
      <c r="AX56" s="13">
        <v>0.058395</v>
      </c>
      <c r="AY56" s="13">
        <v>0.7927</v>
      </c>
      <c r="AZ56" s="13">
        <v>2.4608</v>
      </c>
      <c r="BA56" s="13">
        <v>0.153706810741019</v>
      </c>
      <c r="BB56" s="13">
        <v>0.411186955682526</v>
      </c>
      <c r="BC56" s="13">
        <v>0.065581</v>
      </c>
    </row>
    <row r="57" spans="1:55">
      <c r="A57" s="8" t="s">
        <v>248</v>
      </c>
      <c r="B57" s="8" t="s">
        <v>249</v>
      </c>
      <c r="C57" s="8" t="s">
        <v>77</v>
      </c>
      <c r="D57" s="9">
        <v>59689</v>
      </c>
      <c r="E57" s="8" t="s">
        <v>165</v>
      </c>
      <c r="F57" s="8" t="s">
        <v>67</v>
      </c>
      <c r="G57" s="10">
        <v>129863372985.51</v>
      </c>
      <c r="H57" s="10">
        <v>3</v>
      </c>
      <c r="I57" s="9">
        <v>3565486498</v>
      </c>
      <c r="J57" s="9">
        <v>9164871550</v>
      </c>
      <c r="K57" s="11">
        <v>98.7077</v>
      </c>
      <c r="L57" s="12">
        <v>40326</v>
      </c>
      <c r="M57" s="12">
        <v>37225</v>
      </c>
      <c r="N57" s="9">
        <f t="shared" si="0"/>
        <v>3101</v>
      </c>
      <c r="O57" s="13">
        <v>37.28</v>
      </c>
      <c r="P57" s="13">
        <v>10.5</v>
      </c>
      <c r="Q57" s="13">
        <v>4.92</v>
      </c>
      <c r="R57" s="8" t="s">
        <v>250</v>
      </c>
      <c r="S57" s="13">
        <v>387222</v>
      </c>
      <c r="T57" s="13">
        <v>0.7</v>
      </c>
      <c r="U57" s="13">
        <v>31.1186</v>
      </c>
      <c r="V57" s="13">
        <f t="shared" si="1"/>
        <v>0.0224945852319834</v>
      </c>
      <c r="W57" s="13">
        <v>1.297</v>
      </c>
      <c r="X57" s="13">
        <f t="shared" si="2"/>
        <v>0.539707016191211</v>
      </c>
      <c r="Y57" s="13">
        <v>0.152555</v>
      </c>
      <c r="Z57" s="13">
        <v>0.142072</v>
      </c>
      <c r="AA57" s="13">
        <v>0.683</v>
      </c>
      <c r="AB57" s="13">
        <v>1.725</v>
      </c>
      <c r="AC57" s="13">
        <v>0.1434</v>
      </c>
      <c r="AD57" s="13">
        <v>1.0358</v>
      </c>
      <c r="AE57" s="13">
        <v>0.035307</v>
      </c>
      <c r="AF57" s="13">
        <v>0.7</v>
      </c>
      <c r="AG57" s="13">
        <v>34.6315006197079</v>
      </c>
      <c r="AH57" s="13">
        <f t="shared" si="3"/>
        <v>0.0202128116735908</v>
      </c>
      <c r="AI57" s="13">
        <v>1.37</v>
      </c>
      <c r="AJ57" s="13">
        <f t="shared" si="4"/>
        <v>0.510948905109489</v>
      </c>
      <c r="AK57" s="13">
        <v>0.194726</v>
      </c>
      <c r="AL57" s="13">
        <v>0.16301</v>
      </c>
      <c r="AM57" s="13">
        <v>0.7456</v>
      </c>
      <c r="AN57" s="13">
        <v>1.6921</v>
      </c>
      <c r="AO57" s="13">
        <v>0.122214559654921</v>
      </c>
      <c r="AP57" s="13">
        <v>1.23835626523471</v>
      </c>
      <c r="AQ57" s="13">
        <v>0.021448</v>
      </c>
      <c r="AR57" s="13">
        <v>0.9</v>
      </c>
      <c r="AS57" s="13">
        <v>37.1967362811364</v>
      </c>
      <c r="AT57" s="13">
        <f t="shared" si="5"/>
        <v>0.0241956711792593</v>
      </c>
      <c r="AU57" s="13">
        <v>1.52</v>
      </c>
      <c r="AV57" s="13">
        <f t="shared" si="6"/>
        <v>0.592105263157895</v>
      </c>
      <c r="AW57" s="13">
        <v>0.194933</v>
      </c>
      <c r="AX57" s="13">
        <v>0.169641</v>
      </c>
      <c r="AY57" s="13">
        <v>0.6923</v>
      </c>
      <c r="AZ57" s="13">
        <v>1.783</v>
      </c>
      <c r="BA57" s="13">
        <v>0.186067617421564</v>
      </c>
      <c r="BB57" s="13">
        <v>1.17614993328511</v>
      </c>
      <c r="BC57" s="13">
        <v>0.074231</v>
      </c>
    </row>
    <row r="58" spans="1:55">
      <c r="A58" s="8" t="s">
        <v>251</v>
      </c>
      <c r="B58" s="8" t="s">
        <v>252</v>
      </c>
      <c r="C58" s="8" t="s">
        <v>82</v>
      </c>
      <c r="D58" s="9">
        <v>21864</v>
      </c>
      <c r="E58" s="8" t="s">
        <v>104</v>
      </c>
      <c r="F58" s="8" t="s">
        <v>67</v>
      </c>
      <c r="G58" s="10">
        <v>40104298428</v>
      </c>
      <c r="H58" s="10">
        <v>2</v>
      </c>
      <c r="I58" s="9">
        <v>1084543492</v>
      </c>
      <c r="J58" s="9">
        <v>1598053372</v>
      </c>
      <c r="K58" s="11">
        <v>81.7174</v>
      </c>
      <c r="L58" s="12">
        <v>40332</v>
      </c>
      <c r="M58" s="12">
        <v>37405</v>
      </c>
      <c r="N58" s="9">
        <f t="shared" si="0"/>
        <v>2927</v>
      </c>
      <c r="O58" s="13">
        <v>23.72</v>
      </c>
      <c r="P58" s="13">
        <v>6.07</v>
      </c>
      <c r="Q58" s="13">
        <v>2.51</v>
      </c>
      <c r="R58" s="8" t="s">
        <v>253</v>
      </c>
      <c r="S58" s="13">
        <v>37098</v>
      </c>
      <c r="T58" s="13">
        <v>0.503</v>
      </c>
      <c r="U58" s="13">
        <v>30.6896</v>
      </c>
      <c r="V58" s="13">
        <f t="shared" si="1"/>
        <v>0.016389917105469</v>
      </c>
      <c r="W58" s="13">
        <v>1.86</v>
      </c>
      <c r="X58" s="13">
        <f t="shared" si="2"/>
        <v>0.270430107526882</v>
      </c>
      <c r="Y58" s="13">
        <v>0.139301</v>
      </c>
      <c r="Z58" s="13">
        <v>0.15413</v>
      </c>
      <c r="AA58" s="13">
        <v>0.5914</v>
      </c>
      <c r="AB58" s="13">
        <v>1.7501</v>
      </c>
      <c r="AC58" s="13">
        <v>0.206</v>
      </c>
      <c r="AD58" s="13">
        <v>0.6451</v>
      </c>
      <c r="AE58" s="13">
        <v>0.01671</v>
      </c>
      <c r="AF58" s="13">
        <v>0.616</v>
      </c>
      <c r="AG58" s="13">
        <v>20.5804491508115</v>
      </c>
      <c r="AH58" s="13">
        <f t="shared" si="3"/>
        <v>0.0299313195492486</v>
      </c>
      <c r="AI58" s="13">
        <v>1.22</v>
      </c>
      <c r="AJ58" s="13">
        <f t="shared" si="4"/>
        <v>0.504918032786885</v>
      </c>
      <c r="AK58" s="13">
        <v>0.115421</v>
      </c>
      <c r="AL58" s="13">
        <v>0.090281</v>
      </c>
      <c r="AM58" s="13">
        <v>0.5761</v>
      </c>
      <c r="AN58" s="13">
        <v>2.2176</v>
      </c>
      <c r="AO58" s="13">
        <v>0.165363210197788</v>
      </c>
      <c r="AP58" s="13">
        <v>0.430315429349275</v>
      </c>
      <c r="AQ58" s="13">
        <v>0.094646</v>
      </c>
      <c r="AR58" s="13">
        <v>0.8</v>
      </c>
      <c r="AS58" s="13">
        <v>28.5408272171809</v>
      </c>
      <c r="AT58" s="13">
        <f t="shared" si="5"/>
        <v>0.0280300214815925</v>
      </c>
      <c r="AU58" s="13">
        <v>1.69</v>
      </c>
      <c r="AV58" s="13">
        <f t="shared" si="6"/>
        <v>0.473372781065089</v>
      </c>
      <c r="AW58" s="13">
        <v>0.138671</v>
      </c>
      <c r="AX58" s="13">
        <v>0.123364</v>
      </c>
      <c r="AY58" s="13">
        <v>0.608</v>
      </c>
      <c r="AZ58" s="13">
        <v>1.9923</v>
      </c>
      <c r="BA58" s="13">
        <v>0.248768832601328</v>
      </c>
      <c r="BB58" s="13">
        <v>0.637095143658044</v>
      </c>
      <c r="BC58" s="13">
        <v>0.126888</v>
      </c>
    </row>
    <row r="59" spans="1:55">
      <c r="A59" s="8" t="s">
        <v>254</v>
      </c>
      <c r="B59" s="8" t="s">
        <v>255</v>
      </c>
      <c r="C59" s="8" t="s">
        <v>82</v>
      </c>
      <c r="D59" s="9">
        <v>37289</v>
      </c>
      <c r="E59" s="8" t="s">
        <v>206</v>
      </c>
      <c r="F59" s="8" t="s">
        <v>67</v>
      </c>
      <c r="G59" s="10">
        <v>105379777943.78</v>
      </c>
      <c r="H59" s="10">
        <v>5</v>
      </c>
      <c r="I59" s="9">
        <v>1735445936</v>
      </c>
      <c r="J59" s="9">
        <v>3309682191</v>
      </c>
      <c r="K59" s="11">
        <v>99.8813</v>
      </c>
      <c r="L59" s="12">
        <v>40400</v>
      </c>
      <c r="M59" s="12">
        <v>36819</v>
      </c>
      <c r="N59" s="9">
        <f t="shared" si="0"/>
        <v>3581</v>
      </c>
      <c r="O59" s="13">
        <v>47.45</v>
      </c>
      <c r="P59" s="13">
        <v>6.47</v>
      </c>
      <c r="Q59" s="13">
        <v>1.79</v>
      </c>
      <c r="R59" s="8" t="s">
        <v>256</v>
      </c>
      <c r="S59" s="13">
        <v>147773</v>
      </c>
      <c r="T59" s="13"/>
      <c r="U59" s="13">
        <v>15.5294</v>
      </c>
      <c r="V59" s="13">
        <f t="shared" si="1"/>
        <v>0</v>
      </c>
      <c r="W59" s="13">
        <v>-1.42</v>
      </c>
      <c r="X59" s="13">
        <f t="shared" si="2"/>
        <v>0</v>
      </c>
      <c r="Y59" s="13">
        <v>-0.147779</v>
      </c>
      <c r="Z59" s="13">
        <v>-0.07266</v>
      </c>
      <c r="AA59" s="13">
        <v>0.6388</v>
      </c>
      <c r="AB59" s="13">
        <v>3.4842</v>
      </c>
      <c r="AC59" s="13">
        <v>0.0477</v>
      </c>
      <c r="AD59" s="13">
        <v>0.5062</v>
      </c>
      <c r="AE59" s="13">
        <v>-0.140216</v>
      </c>
      <c r="AF59" s="13">
        <v>0.24</v>
      </c>
      <c r="AG59" s="13">
        <v>74.0095662440782</v>
      </c>
      <c r="AH59" s="13">
        <f t="shared" si="3"/>
        <v>0.00324282403180823</v>
      </c>
      <c r="AI59" s="13">
        <v>2.4</v>
      </c>
      <c r="AJ59" s="13">
        <f t="shared" si="4"/>
        <v>0.1</v>
      </c>
      <c r="AK59" s="13">
        <v>0.2515</v>
      </c>
      <c r="AL59" s="13">
        <v>0.075895</v>
      </c>
      <c r="AM59" s="13">
        <v>1.1289</v>
      </c>
      <c r="AN59" s="13">
        <v>2.9391</v>
      </c>
      <c r="AO59" s="13">
        <v>0.112160023869326</v>
      </c>
      <c r="AP59" s="13">
        <v>0.352376531279827</v>
      </c>
      <c r="AQ59" s="13">
        <v>0.767223</v>
      </c>
      <c r="AR59" s="13">
        <v>0.563</v>
      </c>
      <c r="AS59" s="13">
        <v>33.600690802365</v>
      </c>
      <c r="AT59" s="13">
        <f t="shared" si="5"/>
        <v>0.0167556078924536</v>
      </c>
      <c r="AU59" s="13">
        <v>2.14</v>
      </c>
      <c r="AV59" s="13">
        <f t="shared" si="6"/>
        <v>0.263084112149533</v>
      </c>
      <c r="AW59" s="13">
        <v>0.224829</v>
      </c>
      <c r="AX59" s="13">
        <v>0.088189</v>
      </c>
      <c r="AY59" s="13">
        <v>0.9116</v>
      </c>
      <c r="AZ59" s="13">
        <v>2.8575</v>
      </c>
      <c r="BA59" s="13">
        <v>0.15221588120392</v>
      </c>
      <c r="BB59" s="13">
        <v>0.321660009505151</v>
      </c>
      <c r="BC59" s="13">
        <v>0.11737</v>
      </c>
    </row>
    <row r="60" spans="1:55">
      <c r="A60" s="8" t="s">
        <v>257</v>
      </c>
      <c r="B60" s="8" t="s">
        <v>258</v>
      </c>
      <c r="C60" s="8" t="s">
        <v>82</v>
      </c>
      <c r="D60" s="9">
        <v>16460</v>
      </c>
      <c r="E60" s="8" t="s">
        <v>259</v>
      </c>
      <c r="F60" s="8" t="s">
        <v>67</v>
      </c>
      <c r="G60" s="10">
        <v>110199405691.8</v>
      </c>
      <c r="H60" s="10">
        <v>2</v>
      </c>
      <c r="I60" s="9">
        <v>1081355066</v>
      </c>
      <c r="J60" s="9">
        <v>2095744004</v>
      </c>
      <c r="K60" s="11">
        <v>57.8019</v>
      </c>
      <c r="L60" s="12">
        <v>40400</v>
      </c>
      <c r="M60" s="12">
        <v>36587</v>
      </c>
      <c r="N60" s="9">
        <f t="shared" si="0"/>
        <v>3813</v>
      </c>
      <c r="O60" s="13">
        <v>21.56</v>
      </c>
      <c r="P60" s="13">
        <v>18.41</v>
      </c>
      <c r="Q60" s="13">
        <v>6.88</v>
      </c>
      <c r="R60" s="8" t="s">
        <v>260</v>
      </c>
      <c r="S60" s="13">
        <v>372428</v>
      </c>
      <c r="T60" s="13">
        <v>0.15</v>
      </c>
      <c r="U60" s="13">
        <v>35.8566</v>
      </c>
      <c r="V60" s="13">
        <f t="shared" si="1"/>
        <v>0.0041833302655578</v>
      </c>
      <c r="W60" s="13">
        <v>-1.03</v>
      </c>
      <c r="X60" s="13">
        <f t="shared" si="2"/>
        <v>-0.145631067961165</v>
      </c>
      <c r="Y60" s="13">
        <v>-0.046703</v>
      </c>
      <c r="Z60" s="13">
        <v>-0.13912</v>
      </c>
      <c r="AA60" s="13">
        <v>0.1964</v>
      </c>
      <c r="AB60" s="13">
        <v>2.1677</v>
      </c>
      <c r="AC60" s="13">
        <v>0.273</v>
      </c>
      <c r="AD60" s="13">
        <v>0.1882</v>
      </c>
      <c r="AE60" s="13">
        <v>-0.426587</v>
      </c>
      <c r="AF60" s="13">
        <v>1</v>
      </c>
      <c r="AG60" s="13">
        <v>106.254108892932</v>
      </c>
      <c r="AH60" s="13">
        <f t="shared" si="3"/>
        <v>0.00941140074881866</v>
      </c>
      <c r="AI60" s="13">
        <v>10.18</v>
      </c>
      <c r="AJ60" s="13">
        <f t="shared" si="4"/>
        <v>0.0982318271119843</v>
      </c>
      <c r="AK60" s="13">
        <v>0.621918</v>
      </c>
      <c r="AL60" s="13">
        <v>0.489225</v>
      </c>
      <c r="AM60" s="13">
        <v>0.7076</v>
      </c>
      <c r="AN60" s="13">
        <v>1.7929</v>
      </c>
      <c r="AO60" s="13">
        <v>0.298658153747199</v>
      </c>
      <c r="AP60" s="13">
        <v>0.543021816085552</v>
      </c>
      <c r="AQ60" s="13">
        <v>2.746793</v>
      </c>
      <c r="AR60" s="13">
        <v>0.8</v>
      </c>
      <c r="AS60" s="13">
        <v>57.55488971075</v>
      </c>
      <c r="AT60" s="13">
        <f t="shared" si="5"/>
        <v>0.0138997747023843</v>
      </c>
      <c r="AU60" s="13">
        <v>2.46</v>
      </c>
      <c r="AV60" s="13">
        <f t="shared" si="6"/>
        <v>0.32520325203252</v>
      </c>
      <c r="AW60" s="13">
        <v>0.108629</v>
      </c>
      <c r="AX60" s="13">
        <v>0.138763</v>
      </c>
      <c r="AY60" s="13">
        <v>0.386</v>
      </c>
      <c r="AZ60" s="13">
        <v>1.876</v>
      </c>
      <c r="BA60" s="13">
        <v>0.00444262143921487</v>
      </c>
      <c r="BB60" s="13">
        <v>0.472181399883407</v>
      </c>
      <c r="BC60" s="13">
        <v>-0.211628</v>
      </c>
    </row>
    <row r="61" spans="1:55">
      <c r="A61" s="8" t="s">
        <v>261</v>
      </c>
      <c r="B61" s="8" t="s">
        <v>262</v>
      </c>
      <c r="C61" s="8" t="s">
        <v>157</v>
      </c>
      <c r="D61" s="9">
        <v>10841</v>
      </c>
      <c r="E61" s="8" t="s">
        <v>83</v>
      </c>
      <c r="F61" s="8" t="s">
        <v>67</v>
      </c>
      <c r="G61" s="10">
        <v>26314612654</v>
      </c>
      <c r="H61" s="10">
        <v>23</v>
      </c>
      <c r="I61" s="9">
        <v>1314488263</v>
      </c>
      <c r="J61" s="9">
        <v>1924363537</v>
      </c>
      <c r="K61" s="11">
        <v>99.9193</v>
      </c>
      <c r="L61" s="12">
        <v>40408</v>
      </c>
      <c r="M61" s="12">
        <v>33708</v>
      </c>
      <c r="N61" s="9">
        <f t="shared" si="0"/>
        <v>6700</v>
      </c>
      <c r="O61" s="13">
        <v>19.32</v>
      </c>
      <c r="P61" s="13">
        <v>11.26</v>
      </c>
      <c r="Q61" s="13">
        <v>7.31</v>
      </c>
      <c r="R61" s="8" t="s">
        <v>263</v>
      </c>
      <c r="S61" s="13">
        <v>162040</v>
      </c>
      <c r="T61" s="13">
        <v>0.5</v>
      </c>
      <c r="U61" s="13">
        <v>33.4022</v>
      </c>
      <c r="V61" s="13">
        <f t="shared" si="1"/>
        <v>0.0149690738933364</v>
      </c>
      <c r="W61" s="13">
        <v>1.3516</v>
      </c>
      <c r="X61" s="13">
        <f t="shared" si="2"/>
        <v>0.369931932524416</v>
      </c>
      <c r="Y61" s="13">
        <v>0.239277</v>
      </c>
      <c r="Z61" s="13">
        <v>0.192355</v>
      </c>
      <c r="AA61" s="13">
        <v>0.717</v>
      </c>
      <c r="AB61" s="13">
        <v>1.7209</v>
      </c>
      <c r="AC61" s="13">
        <v>0.1743</v>
      </c>
      <c r="AD61" s="13">
        <v>0.2037</v>
      </c>
      <c r="AE61" s="13">
        <v>0.492625</v>
      </c>
      <c r="AF61" s="13">
        <v>0.15</v>
      </c>
      <c r="AG61" s="13">
        <v>13.5844245951809</v>
      </c>
      <c r="AH61" s="13">
        <f t="shared" si="3"/>
        <v>0.0110420576851825</v>
      </c>
      <c r="AI61" s="13">
        <v>0.7179</v>
      </c>
      <c r="AJ61" s="13">
        <f t="shared" si="4"/>
        <v>0.208942749686586</v>
      </c>
      <c r="AK61" s="13">
        <v>0.175673</v>
      </c>
      <c r="AL61" s="13">
        <v>0.163336</v>
      </c>
      <c r="AM61" s="13">
        <v>0.6904</v>
      </c>
      <c r="AN61" s="13">
        <v>1.5579</v>
      </c>
      <c r="AO61" s="13">
        <v>0.187831439105022</v>
      </c>
      <c r="AP61" s="13">
        <v>0.340287487254994</v>
      </c>
      <c r="AQ61" s="13">
        <v>0.12365</v>
      </c>
      <c r="AR61" s="13">
        <v>0.5</v>
      </c>
      <c r="AS61" s="13">
        <v>20.7233979613788</v>
      </c>
      <c r="AT61" s="13">
        <f t="shared" si="5"/>
        <v>0.0241273173893502</v>
      </c>
      <c r="AU61" s="13">
        <v>0.7944</v>
      </c>
      <c r="AV61" s="13">
        <f t="shared" si="6"/>
        <v>0.629405840886203</v>
      </c>
      <c r="AW61" s="13">
        <v>0.167579</v>
      </c>
      <c r="AX61" s="13">
        <v>0.166644</v>
      </c>
      <c r="AY61" s="13">
        <v>0.6264</v>
      </c>
      <c r="AZ61" s="13">
        <v>1.5808</v>
      </c>
      <c r="BA61" s="13">
        <v>0.250977118519367</v>
      </c>
      <c r="BB61" s="13">
        <v>0.42892007655793</v>
      </c>
      <c r="BC61" s="13">
        <v>0.07225</v>
      </c>
    </row>
    <row r="62" spans="1:55">
      <c r="A62" s="8" t="s">
        <v>264</v>
      </c>
      <c r="B62" s="8" t="s">
        <v>265</v>
      </c>
      <c r="C62" s="8" t="s">
        <v>82</v>
      </c>
      <c r="D62" s="9">
        <v>3151</v>
      </c>
      <c r="E62" s="8" t="s">
        <v>104</v>
      </c>
      <c r="F62" s="8" t="s">
        <v>67</v>
      </c>
      <c r="G62" s="10">
        <v>73956835854.84</v>
      </c>
      <c r="H62" s="10">
        <v>1</v>
      </c>
      <c r="I62" s="9">
        <v>990822725</v>
      </c>
      <c r="J62" s="9">
        <v>1641194983</v>
      </c>
      <c r="K62" s="11">
        <v>89.9234</v>
      </c>
      <c r="L62" s="12">
        <v>40421</v>
      </c>
      <c r="M62" s="12">
        <v>34988</v>
      </c>
      <c r="N62" s="9">
        <f t="shared" si="0"/>
        <v>5433</v>
      </c>
      <c r="O62" s="13">
        <v>25.37</v>
      </c>
      <c r="P62" s="13">
        <v>10</v>
      </c>
      <c r="Q62" s="13">
        <v>4.18</v>
      </c>
      <c r="R62" s="8" t="s">
        <v>266</v>
      </c>
      <c r="S62" s="13">
        <v>310109</v>
      </c>
      <c r="T62" s="13"/>
      <c r="U62" s="13">
        <v>38.8123</v>
      </c>
      <c r="V62" s="13">
        <f t="shared" si="1"/>
        <v>0</v>
      </c>
      <c r="W62" s="13">
        <v>-4.82</v>
      </c>
      <c r="X62" s="13">
        <f t="shared" si="2"/>
        <v>0</v>
      </c>
      <c r="Y62" s="13">
        <v>-0.169241</v>
      </c>
      <c r="Z62" s="13">
        <v>-0.002238</v>
      </c>
      <c r="AA62" s="13">
        <v>0.1841</v>
      </c>
      <c r="AB62" s="13">
        <v>1.5191</v>
      </c>
      <c r="AC62" s="13">
        <v>0.4252</v>
      </c>
      <c r="AD62" s="13">
        <v>1.3247</v>
      </c>
      <c r="AE62" s="13">
        <v>-0.677473</v>
      </c>
      <c r="AF62" s="13">
        <v>3</v>
      </c>
      <c r="AG62" s="13">
        <v>99.3072055869582</v>
      </c>
      <c r="AH62" s="13">
        <f t="shared" si="3"/>
        <v>0.0302092882612939</v>
      </c>
      <c r="AI62" s="13">
        <v>15.52</v>
      </c>
      <c r="AJ62" s="13">
        <f t="shared" si="4"/>
        <v>0.193298969072165</v>
      </c>
      <c r="AK62" s="13">
        <v>0.787671</v>
      </c>
      <c r="AL62" s="13">
        <v>0.769078</v>
      </c>
      <c r="AM62" s="13">
        <v>0.7034</v>
      </c>
      <c r="AN62" s="13">
        <v>1.8776</v>
      </c>
      <c r="AO62" s="13">
        <v>0.501808238523663</v>
      </c>
      <c r="AP62" s="13">
        <v>1.71763997742098</v>
      </c>
      <c r="AQ62" s="13">
        <v>4.278245</v>
      </c>
      <c r="AR62" s="13">
        <v>1.35</v>
      </c>
      <c r="AS62" s="13">
        <v>69.4272037689832</v>
      </c>
      <c r="AT62" s="13">
        <f t="shared" si="5"/>
        <v>0.0194448274842248</v>
      </c>
      <c r="AU62" s="13">
        <v>4.45</v>
      </c>
      <c r="AV62" s="13">
        <f t="shared" si="6"/>
        <v>0.303370786516854</v>
      </c>
      <c r="AW62" s="13">
        <v>0.145926</v>
      </c>
      <c r="AX62" s="13">
        <v>0.633603</v>
      </c>
      <c r="AY62" s="13">
        <v>0.5623</v>
      </c>
      <c r="AZ62" s="13">
        <v>1.4405</v>
      </c>
      <c r="BA62" s="13">
        <v>0.560151467693097</v>
      </c>
      <c r="BB62" s="13">
        <v>1.45185323647127</v>
      </c>
      <c r="BC62" s="13">
        <v>0.001349</v>
      </c>
    </row>
    <row r="63" spans="1:55">
      <c r="A63" s="8" t="s">
        <v>267</v>
      </c>
      <c r="B63" s="8" t="s">
        <v>268</v>
      </c>
      <c r="C63" s="8" t="s">
        <v>82</v>
      </c>
      <c r="D63" s="9">
        <v>278103</v>
      </c>
      <c r="E63" s="8" t="s">
        <v>58</v>
      </c>
      <c r="F63" s="8" t="s">
        <v>67</v>
      </c>
      <c r="G63" s="10">
        <v>300261877911.58</v>
      </c>
      <c r="H63" s="10">
        <v>6</v>
      </c>
      <c r="I63" s="9">
        <v>4534087991</v>
      </c>
      <c r="J63" s="9">
        <v>7282103432</v>
      </c>
      <c r="K63" s="11">
        <v>99.7737</v>
      </c>
      <c r="L63" s="12">
        <v>40436</v>
      </c>
      <c r="M63" s="12">
        <v>38131</v>
      </c>
      <c r="N63" s="9">
        <f t="shared" si="0"/>
        <v>2305</v>
      </c>
      <c r="O63" s="13">
        <v>37.5118</v>
      </c>
      <c r="P63" s="13">
        <v>5.8713</v>
      </c>
      <c r="Q63" s="13">
        <v>1.19</v>
      </c>
      <c r="R63" s="8" t="s">
        <v>269</v>
      </c>
      <c r="S63" s="13">
        <v>426745</v>
      </c>
      <c r="T63" s="13">
        <v>0.199873</v>
      </c>
      <c r="U63" s="13">
        <v>35.1786</v>
      </c>
      <c r="V63" s="13">
        <f t="shared" si="1"/>
        <v>0.00568166442098321</v>
      </c>
      <c r="W63" s="13">
        <v>1.86</v>
      </c>
      <c r="X63" s="13">
        <f t="shared" si="2"/>
        <v>0.107458602150538</v>
      </c>
      <c r="Y63" s="13">
        <v>0.212766</v>
      </c>
      <c r="Z63" s="13">
        <v>0.054239</v>
      </c>
      <c r="AA63" s="13">
        <v>1.3934</v>
      </c>
      <c r="AB63" s="13">
        <v>3.0709</v>
      </c>
      <c r="AC63" s="13">
        <v>0.1009</v>
      </c>
      <c r="AD63" s="13">
        <v>0.4401</v>
      </c>
      <c r="AE63" s="13">
        <v>0.15907</v>
      </c>
      <c r="AF63" s="13">
        <v>0.1299661</v>
      </c>
      <c r="AG63" s="13">
        <v>34.4791244573932</v>
      </c>
      <c r="AH63" s="13">
        <f t="shared" si="3"/>
        <v>0.00376941416133123</v>
      </c>
      <c r="AI63" s="13">
        <v>1.29</v>
      </c>
      <c r="AJ63" s="13">
        <f t="shared" si="4"/>
        <v>0.100748914728682</v>
      </c>
      <c r="AK63" s="13">
        <v>0.227284</v>
      </c>
      <c r="AL63" s="13">
        <v>0.049015</v>
      </c>
      <c r="AM63" s="13">
        <v>1.5915</v>
      </c>
      <c r="AN63" s="13">
        <v>3.3356</v>
      </c>
      <c r="AO63" s="13">
        <v>0.0594669242904704</v>
      </c>
      <c r="AP63" s="13">
        <v>0.290364345016643</v>
      </c>
      <c r="AQ63" s="13">
        <v>0.390281</v>
      </c>
      <c r="AR63" s="13">
        <v>0.2989461</v>
      </c>
      <c r="AS63" s="13">
        <v>30.633680377331</v>
      </c>
      <c r="AT63" s="13">
        <f t="shared" si="5"/>
        <v>0.00975873928035173</v>
      </c>
      <c r="AU63" s="13">
        <v>1.54</v>
      </c>
      <c r="AV63" s="13">
        <f t="shared" si="6"/>
        <v>0.194120844155844</v>
      </c>
      <c r="AW63" s="13">
        <v>0.215491</v>
      </c>
      <c r="AX63" s="13">
        <v>0.052794</v>
      </c>
      <c r="AY63" s="13">
        <v>1.4943</v>
      </c>
      <c r="AZ63" s="13">
        <v>3.0533</v>
      </c>
      <c r="BA63" s="13">
        <v>0.119035836549154</v>
      </c>
      <c r="BB63" s="13">
        <v>0.475730926180767</v>
      </c>
      <c r="BC63" s="13">
        <v>0.083527</v>
      </c>
    </row>
    <row r="64" spans="1:55">
      <c r="A64" s="8" t="s">
        <v>270</v>
      </c>
      <c r="B64" s="8" t="s">
        <v>271</v>
      </c>
      <c r="C64" s="8" t="s">
        <v>82</v>
      </c>
      <c r="D64" s="9">
        <v>19077</v>
      </c>
      <c r="E64" s="8" t="s">
        <v>165</v>
      </c>
      <c r="F64" s="8" t="s">
        <v>67</v>
      </c>
      <c r="G64" s="10">
        <v>392918397668.51</v>
      </c>
      <c r="H64" s="10">
        <v>0</v>
      </c>
      <c r="I64" s="9">
        <v>2593000472</v>
      </c>
      <c r="J64" s="9">
        <v>9989442254</v>
      </c>
      <c r="K64" s="11">
        <v>93.7209</v>
      </c>
      <c r="L64" s="12">
        <v>40484</v>
      </c>
      <c r="M64" s="12">
        <v>34957</v>
      </c>
      <c r="N64" s="9">
        <f t="shared" si="0"/>
        <v>5527</v>
      </c>
      <c r="O64" s="13">
        <v>55.0511</v>
      </c>
      <c r="P64" s="13">
        <v>10.1362</v>
      </c>
      <c r="Q64" s="13">
        <v>6.4395</v>
      </c>
      <c r="R64" s="8" t="s">
        <v>272</v>
      </c>
      <c r="S64" s="13">
        <v>73726</v>
      </c>
      <c r="T64" s="13">
        <v>0.1</v>
      </c>
      <c r="U64" s="13">
        <v>9.8933</v>
      </c>
      <c r="V64" s="13">
        <f t="shared" si="1"/>
        <v>0.0101078507676913</v>
      </c>
      <c r="W64" s="13">
        <v>0.08</v>
      </c>
      <c r="X64" s="13">
        <f t="shared" si="2"/>
        <v>1.25</v>
      </c>
      <c r="Y64" s="13">
        <v>0.016429</v>
      </c>
      <c r="Z64" s="13">
        <v>0.00651</v>
      </c>
      <c r="AA64" s="13">
        <v>0.8674</v>
      </c>
      <c r="AB64" s="13">
        <v>8.5352</v>
      </c>
      <c r="AC64" s="13">
        <v>0.106</v>
      </c>
      <c r="AD64" s="13">
        <v>0.0918</v>
      </c>
      <c r="AE64" s="13">
        <v>0.004194</v>
      </c>
      <c r="AF64" s="13">
        <v>0.15</v>
      </c>
      <c r="AG64" s="13">
        <v>15.0199744572691</v>
      </c>
      <c r="AH64" s="13">
        <f t="shared" si="3"/>
        <v>0.00998670140396981</v>
      </c>
      <c r="AI64" s="13">
        <v>0.33</v>
      </c>
      <c r="AJ64" s="13">
        <f t="shared" si="4"/>
        <v>0.454545454545455</v>
      </c>
      <c r="AK64" s="13">
        <v>0.069515</v>
      </c>
      <c r="AL64" s="13">
        <v>0.022034</v>
      </c>
      <c r="AM64" s="13">
        <v>0.8263</v>
      </c>
      <c r="AN64" s="13">
        <v>7.2817</v>
      </c>
      <c r="AO64" s="13">
        <v>0.0659234761126876</v>
      </c>
      <c r="AP64" s="13">
        <v>0.141681876142491</v>
      </c>
      <c r="AQ64" s="13">
        <v>0.579107</v>
      </c>
      <c r="AR64" s="13">
        <v>0.1</v>
      </c>
      <c r="AS64" s="13">
        <v>12.828604266277</v>
      </c>
      <c r="AT64" s="13">
        <f t="shared" si="5"/>
        <v>0.00779508026940027</v>
      </c>
      <c r="AU64" s="13">
        <v>0.12</v>
      </c>
      <c r="AV64" s="13">
        <f t="shared" si="6"/>
        <v>0.833333333333333</v>
      </c>
      <c r="AW64" s="13">
        <v>0.025288</v>
      </c>
      <c r="AX64" s="13">
        <v>0.004931</v>
      </c>
      <c r="AY64" s="13">
        <v>0.8817</v>
      </c>
      <c r="AZ64" s="13">
        <v>8.0517</v>
      </c>
      <c r="BA64" s="13">
        <v>0.0863679434275012</v>
      </c>
      <c r="BB64" s="13">
        <v>0.0874175821823158</v>
      </c>
      <c r="BC64" s="13">
        <v>0.124585</v>
      </c>
    </row>
    <row r="65" spans="1:55">
      <c r="A65" s="8" t="s">
        <v>273</v>
      </c>
      <c r="B65" s="8" t="s">
        <v>274</v>
      </c>
      <c r="C65" s="8" t="s">
        <v>82</v>
      </c>
      <c r="D65" s="9">
        <v>968872</v>
      </c>
      <c r="E65" s="8" t="s">
        <v>58</v>
      </c>
      <c r="F65" s="8" t="s">
        <v>67</v>
      </c>
      <c r="G65" s="10">
        <v>901925091000</v>
      </c>
      <c r="H65" s="10">
        <v>14</v>
      </c>
      <c r="I65" s="9">
        <v>2457153663</v>
      </c>
      <c r="J65" s="9">
        <v>9117197565</v>
      </c>
      <c r="K65" s="11">
        <v>38.2491</v>
      </c>
      <c r="L65" s="12">
        <v>40724</v>
      </c>
      <c r="M65" s="12">
        <v>34740</v>
      </c>
      <c r="N65" s="9">
        <f t="shared" si="0"/>
        <v>5984</v>
      </c>
      <c r="O65" s="13">
        <v>40.38</v>
      </c>
      <c r="P65" s="13">
        <v>16.9</v>
      </c>
      <c r="Q65" s="13">
        <v>7.87</v>
      </c>
      <c r="R65" s="8" t="s">
        <v>275</v>
      </c>
      <c r="S65" s="13">
        <v>642496</v>
      </c>
      <c r="T65" s="13">
        <v>3.974</v>
      </c>
      <c r="U65" s="13">
        <v>244.0277</v>
      </c>
      <c r="V65" s="13">
        <f t="shared" si="1"/>
        <v>0.0162850364938079</v>
      </c>
      <c r="W65" s="13">
        <v>13.84</v>
      </c>
      <c r="X65" s="13">
        <f t="shared" si="2"/>
        <v>0.287138728323699</v>
      </c>
      <c r="Y65" s="13">
        <v>0.248437</v>
      </c>
      <c r="Z65" s="13">
        <v>0.053517</v>
      </c>
      <c r="AA65" s="13">
        <v>1.0624</v>
      </c>
      <c r="AB65" s="13">
        <v>4.5143</v>
      </c>
      <c r="AC65" s="13">
        <v>0.1717</v>
      </c>
      <c r="AD65" s="13">
        <v>0.2888</v>
      </c>
      <c r="AE65" s="13">
        <v>0.290192</v>
      </c>
      <c r="AF65" s="13">
        <v>1.142</v>
      </c>
      <c r="AG65" s="13">
        <v>277.553546139431</v>
      </c>
      <c r="AH65" s="13">
        <f t="shared" si="3"/>
        <v>0.0041145213811331</v>
      </c>
      <c r="AI65" s="13">
        <v>5.71</v>
      </c>
      <c r="AJ65" s="13">
        <f t="shared" si="4"/>
        <v>0.2</v>
      </c>
      <c r="AK65" s="13">
        <v>0.161305</v>
      </c>
      <c r="AL65" s="13">
        <v>0.04177</v>
      </c>
      <c r="AM65" s="13">
        <v>1.0741</v>
      </c>
      <c r="AN65" s="13">
        <v>3.8314</v>
      </c>
      <c r="AO65" s="13">
        <v>0.332116790326459</v>
      </c>
      <c r="AP65" s="13">
        <v>0.216287293795083</v>
      </c>
      <c r="AQ65" s="13">
        <v>0.96195</v>
      </c>
      <c r="AR65" s="13">
        <v>3.0977722</v>
      </c>
      <c r="AS65" s="13">
        <v>249.67371656507</v>
      </c>
      <c r="AT65" s="13">
        <f t="shared" si="5"/>
        <v>0.0124072819623072</v>
      </c>
      <c r="AU65" s="13">
        <v>10.32</v>
      </c>
      <c r="AV65" s="13">
        <f t="shared" si="6"/>
        <v>0.300171724806202</v>
      </c>
      <c r="AW65" s="13">
        <v>0.240481</v>
      </c>
      <c r="AX65" s="13">
        <v>0.052039</v>
      </c>
      <c r="AY65" s="13">
        <v>1.0266</v>
      </c>
      <c r="AZ65" s="13">
        <v>4.6967</v>
      </c>
      <c r="BA65" s="13">
        <v>0.281787644749299</v>
      </c>
      <c r="BB65" s="13">
        <v>0.261550970315825</v>
      </c>
      <c r="BC65" s="13">
        <v>0.420352</v>
      </c>
    </row>
    <row r="66" spans="1:55">
      <c r="A66" s="8" t="s">
        <v>276</v>
      </c>
      <c r="B66" s="8" t="s">
        <v>277</v>
      </c>
      <c r="C66" s="8" t="s">
        <v>82</v>
      </c>
      <c r="D66" s="9">
        <v>85284</v>
      </c>
      <c r="E66" s="8" t="s">
        <v>58</v>
      </c>
      <c r="F66" s="8" t="s">
        <v>67</v>
      </c>
      <c r="G66" s="10">
        <v>51758065615.2</v>
      </c>
      <c r="H66" s="10">
        <v>3</v>
      </c>
      <c r="I66" s="9">
        <v>3021878346</v>
      </c>
      <c r="J66" s="9">
        <v>7306060977</v>
      </c>
      <c r="K66" s="11">
        <v>98.5146</v>
      </c>
      <c r="L66" s="12">
        <v>40739</v>
      </c>
      <c r="M66" s="12">
        <v>27576</v>
      </c>
      <c r="N66" s="9">
        <f t="shared" ref="N66:N129" si="7">L66-M66</f>
        <v>13163</v>
      </c>
      <c r="O66" s="13">
        <v>56.87</v>
      </c>
      <c r="P66" s="13">
        <v>2.39</v>
      </c>
      <c r="Q66" s="13">
        <v>1.99</v>
      </c>
      <c r="R66" s="8" t="s">
        <v>278</v>
      </c>
      <c r="S66" s="13">
        <v>539120</v>
      </c>
      <c r="T66" s="13">
        <v>0.02</v>
      </c>
      <c r="U66" s="13">
        <v>7.2478</v>
      </c>
      <c r="V66" s="13">
        <f t="shared" ref="V66:V129" si="8">T66/U66</f>
        <v>0.00275945804244046</v>
      </c>
      <c r="W66" s="13">
        <v>0.25</v>
      </c>
      <c r="X66" s="13">
        <f t="shared" ref="X66:X129" si="9">T66/W66</f>
        <v>0.08</v>
      </c>
      <c r="Y66" s="13">
        <v>0.092147</v>
      </c>
      <c r="Z66" s="13">
        <v>0.039778</v>
      </c>
      <c r="AA66" s="13">
        <v>1.0737</v>
      </c>
      <c r="AB66" s="13">
        <v>2.1638</v>
      </c>
      <c r="AC66" s="13">
        <v>0.091</v>
      </c>
      <c r="AD66" s="13">
        <v>0.4244</v>
      </c>
      <c r="AE66" s="13">
        <v>0.295616</v>
      </c>
      <c r="AF66" s="13">
        <v>0.1155017</v>
      </c>
      <c r="AG66" s="13">
        <v>5.27937166786478</v>
      </c>
      <c r="AH66" s="13">
        <f t="shared" ref="AH66:AH129" si="10">AF66/AG66</f>
        <v>0.0218779254931135</v>
      </c>
      <c r="AI66" s="13">
        <v>0.23</v>
      </c>
      <c r="AJ66" s="13">
        <f t="shared" ref="AJ66:AJ129" si="11">AF66/AI66</f>
        <v>0.502181304347826</v>
      </c>
      <c r="AK66" s="13">
        <v>0.096813</v>
      </c>
      <c r="AL66" s="13">
        <v>0.04611</v>
      </c>
      <c r="AM66" s="13">
        <v>0.9614</v>
      </c>
      <c r="AN66" s="13">
        <v>2.1757</v>
      </c>
      <c r="AO66" s="13">
        <v>0.119610498501945</v>
      </c>
      <c r="AP66" s="13">
        <v>0.303897884016876</v>
      </c>
      <c r="AQ66" s="13">
        <v>0.134943</v>
      </c>
      <c r="AR66" s="13">
        <v>0.03</v>
      </c>
      <c r="AS66" s="13">
        <v>6.20402953332505</v>
      </c>
      <c r="AT66" s="13">
        <f t="shared" ref="AT66:AT129" si="12">AR66/AS66</f>
        <v>0.00483556692289334</v>
      </c>
      <c r="AU66" s="13">
        <v>0.29</v>
      </c>
      <c r="AV66" s="13">
        <f t="shared" ref="AV66:AV129" si="13">AR66/AU66</f>
        <v>0.103448275862069</v>
      </c>
      <c r="AW66" s="13">
        <v>0.115813</v>
      </c>
      <c r="AX66" s="13">
        <v>0.059997</v>
      </c>
      <c r="AY66" s="13">
        <v>0.9301</v>
      </c>
      <c r="AZ66" s="13">
        <v>2.0719</v>
      </c>
      <c r="BA66" s="13">
        <v>0.155179127187266</v>
      </c>
      <c r="BB66" s="13">
        <v>0.243429829350109</v>
      </c>
      <c r="BC66" s="13">
        <v>-0.010468</v>
      </c>
    </row>
    <row r="67" spans="1:55">
      <c r="A67" s="8" t="s">
        <v>279</v>
      </c>
      <c r="B67" s="8" t="s">
        <v>280</v>
      </c>
      <c r="C67" s="8" t="s">
        <v>82</v>
      </c>
      <c r="D67" s="9">
        <v>19385</v>
      </c>
      <c r="E67" s="8" t="s">
        <v>158</v>
      </c>
      <c r="F67" s="8" t="s">
        <v>67</v>
      </c>
      <c r="G67" s="10">
        <v>64048699678.48</v>
      </c>
      <c r="H67" s="10">
        <v>0</v>
      </c>
      <c r="I67" s="9">
        <v>1477702040</v>
      </c>
      <c r="J67" s="9">
        <v>2384248056</v>
      </c>
      <c r="K67" s="11">
        <v>83.3639</v>
      </c>
      <c r="L67" s="12">
        <v>40739</v>
      </c>
      <c r="M67" s="12">
        <v>36027</v>
      </c>
      <c r="N67" s="9">
        <f t="shared" si="7"/>
        <v>4712</v>
      </c>
      <c r="O67" s="13">
        <v>20.95</v>
      </c>
      <c r="P67" s="13">
        <v>8.27</v>
      </c>
      <c r="Q67" s="13">
        <v>5.3</v>
      </c>
      <c r="R67" s="8" t="s">
        <v>281</v>
      </c>
      <c r="S67" s="13">
        <v>82166</v>
      </c>
      <c r="T67" s="13"/>
      <c r="U67" s="13">
        <v>18.8725</v>
      </c>
      <c r="V67" s="13">
        <f t="shared" si="8"/>
        <v>0</v>
      </c>
      <c r="W67" s="13">
        <v>0.91</v>
      </c>
      <c r="X67" s="13">
        <f t="shared" si="9"/>
        <v>0</v>
      </c>
      <c r="Y67" s="13">
        <v>0.095352</v>
      </c>
      <c r="Z67" s="13">
        <v>0.081354</v>
      </c>
      <c r="AA67" s="13">
        <v>0.4236</v>
      </c>
      <c r="AB67" s="13">
        <v>2.8584</v>
      </c>
      <c r="AC67" s="13">
        <v>0.138</v>
      </c>
      <c r="AD67" s="13">
        <v>0.2923</v>
      </c>
      <c r="AE67" s="13">
        <v>0.027799</v>
      </c>
      <c r="AF67" s="13"/>
      <c r="AG67" s="13">
        <v>20.4219376492622</v>
      </c>
      <c r="AH67" s="13">
        <f t="shared" si="10"/>
        <v>0</v>
      </c>
      <c r="AI67" s="13">
        <v>1.46</v>
      </c>
      <c r="AJ67" s="13">
        <f t="shared" si="11"/>
        <v>0</v>
      </c>
      <c r="AK67" s="13">
        <v>0.172102</v>
      </c>
      <c r="AL67" s="13">
        <v>0.146421</v>
      </c>
      <c r="AM67" s="13">
        <v>0.4622</v>
      </c>
      <c r="AN67" s="13">
        <v>2.6303</v>
      </c>
      <c r="AO67" s="13">
        <v>0.132348854432277</v>
      </c>
      <c r="AP67" s="13">
        <v>0.338096694647493</v>
      </c>
      <c r="AQ67" s="13">
        <v>0.17161</v>
      </c>
      <c r="AR67" s="13"/>
      <c r="AS67" s="13">
        <v>18.7034851604054</v>
      </c>
      <c r="AT67" s="13">
        <f t="shared" si="12"/>
        <v>0</v>
      </c>
      <c r="AU67" s="13">
        <v>1.38</v>
      </c>
      <c r="AV67" s="13">
        <f t="shared" si="13"/>
        <v>0</v>
      </c>
      <c r="AW67" s="13">
        <v>0.149025</v>
      </c>
      <c r="AX67" s="13">
        <v>0.121147</v>
      </c>
      <c r="AY67" s="13">
        <v>0.4357</v>
      </c>
      <c r="AZ67" s="13">
        <v>2.8407</v>
      </c>
      <c r="BA67" s="13">
        <v>0.12705722281968</v>
      </c>
      <c r="BB67" s="13">
        <v>0.277555138742219</v>
      </c>
      <c r="BC67" s="13">
        <v>0.109242</v>
      </c>
    </row>
    <row r="68" spans="1:55">
      <c r="A68" s="8" t="s">
        <v>282</v>
      </c>
      <c r="B68" s="8" t="s">
        <v>283</v>
      </c>
      <c r="C68" s="8" t="s">
        <v>82</v>
      </c>
      <c r="D68" s="9">
        <v>2424</v>
      </c>
      <c r="E68" s="8" t="s">
        <v>58</v>
      </c>
      <c r="F68" s="8" t="s">
        <v>67</v>
      </c>
      <c r="G68" s="10">
        <v>11376916047.61</v>
      </c>
      <c r="H68" s="10">
        <v>8</v>
      </c>
      <c r="I68" s="9">
        <v>1529750256</v>
      </c>
      <c r="J68" s="9">
        <v>2154587862</v>
      </c>
      <c r="K68" s="11">
        <v>99.9997</v>
      </c>
      <c r="L68" s="12">
        <v>40850</v>
      </c>
      <c r="M68" s="12">
        <v>37090</v>
      </c>
      <c r="N68" s="9">
        <f t="shared" si="7"/>
        <v>3760</v>
      </c>
      <c r="O68" s="13">
        <v>24</v>
      </c>
      <c r="P68" s="13">
        <v>5</v>
      </c>
      <c r="Q68" s="13"/>
      <c r="R68" s="8"/>
      <c r="S68" s="13">
        <v>122560</v>
      </c>
      <c r="T68" s="13"/>
      <c r="U68" s="13">
        <v>27.8782</v>
      </c>
      <c r="V68" s="13">
        <f t="shared" si="8"/>
        <v>0</v>
      </c>
      <c r="W68" s="13">
        <v>0.3</v>
      </c>
      <c r="X68" s="13">
        <f t="shared" si="9"/>
        <v>0</v>
      </c>
      <c r="Y68" s="13">
        <v>0.073442</v>
      </c>
      <c r="Z68" s="13">
        <v>0.418484</v>
      </c>
      <c r="AA68" s="13">
        <v>0.1582</v>
      </c>
      <c r="AB68" s="13">
        <v>1.1095</v>
      </c>
      <c r="AC68" s="13">
        <v>-0.0552</v>
      </c>
      <c r="AD68" s="13">
        <v>6.353</v>
      </c>
      <c r="AE68" s="13">
        <v>0.042465</v>
      </c>
      <c r="AF68" s="13"/>
      <c r="AG68" s="13">
        <v>17.5199574629977</v>
      </c>
      <c r="AH68" s="13">
        <f t="shared" si="10"/>
        <v>0</v>
      </c>
      <c r="AI68" s="13">
        <v>0.17</v>
      </c>
      <c r="AJ68" s="13">
        <f t="shared" si="11"/>
        <v>0</v>
      </c>
      <c r="AK68" s="13">
        <v>0.045962</v>
      </c>
      <c r="AL68" s="13">
        <v>0.322279</v>
      </c>
      <c r="AM68" s="13">
        <v>0.1286</v>
      </c>
      <c r="AN68" s="13">
        <v>1.1078</v>
      </c>
      <c r="AO68" s="13">
        <v>0.120671830204163</v>
      </c>
      <c r="AP68" s="13">
        <v>8.09625812328543</v>
      </c>
      <c r="AQ68" s="13">
        <v>0.358752</v>
      </c>
      <c r="AR68" s="13"/>
      <c r="AS68" s="13">
        <v>15.8106713159582</v>
      </c>
      <c r="AT68" s="13">
        <f t="shared" si="12"/>
        <v>0</v>
      </c>
      <c r="AU68" s="13">
        <v>0.27</v>
      </c>
      <c r="AV68" s="13">
        <f t="shared" si="13"/>
        <v>0</v>
      </c>
      <c r="AW68" s="13">
        <v>0.068394</v>
      </c>
      <c r="AX68" s="13">
        <v>0.39024</v>
      </c>
      <c r="AY68" s="13">
        <v>0.1575</v>
      </c>
      <c r="AZ68" s="13">
        <v>1.1128</v>
      </c>
      <c r="BA68" s="13">
        <v>-0.0106269613979008</v>
      </c>
      <c r="BB68" s="13">
        <v>7.80142160728116</v>
      </c>
      <c r="BC68" s="13">
        <v>0.279764</v>
      </c>
    </row>
    <row r="69" spans="1:55">
      <c r="A69" s="8" t="s">
        <v>284</v>
      </c>
      <c r="B69" s="8" t="s">
        <v>285</v>
      </c>
      <c r="C69" s="8" t="s">
        <v>82</v>
      </c>
      <c r="D69" s="9">
        <v>5057</v>
      </c>
      <c r="E69" s="8" t="s">
        <v>165</v>
      </c>
      <c r="F69" s="8" t="s">
        <v>67</v>
      </c>
      <c r="G69" s="10">
        <v>69718879751.96</v>
      </c>
      <c r="H69" s="10">
        <v>2</v>
      </c>
      <c r="I69" s="9">
        <v>1668860266</v>
      </c>
      <c r="J69" s="9">
        <v>3368645690</v>
      </c>
      <c r="K69" s="11">
        <v>99.9358</v>
      </c>
      <c r="L69" s="12">
        <v>40905</v>
      </c>
      <c r="M69" s="12">
        <v>38567</v>
      </c>
      <c r="N69" s="9">
        <f t="shared" si="7"/>
        <v>2338</v>
      </c>
      <c r="O69" s="13">
        <v>34.6</v>
      </c>
      <c r="P69" s="13">
        <v>11.64</v>
      </c>
      <c r="Q69" s="13">
        <v>6.95</v>
      </c>
      <c r="R69" s="8" t="s">
        <v>286</v>
      </c>
      <c r="S69" s="13">
        <v>89384</v>
      </c>
      <c r="T69" s="13">
        <v>0.5</v>
      </c>
      <c r="U69" s="13">
        <v>17.554</v>
      </c>
      <c r="V69" s="13">
        <f t="shared" si="8"/>
        <v>0.0284835365158938</v>
      </c>
      <c r="W69" s="13">
        <v>1.8</v>
      </c>
      <c r="X69" s="13">
        <f t="shared" si="9"/>
        <v>0.277777777777778</v>
      </c>
      <c r="Y69" s="13">
        <v>0.21782</v>
      </c>
      <c r="Z69" s="13">
        <v>0.132797</v>
      </c>
      <c r="AA69" s="13">
        <v>0.687</v>
      </c>
      <c r="AB69" s="13">
        <v>2.3836</v>
      </c>
      <c r="AC69" s="13">
        <v>0.232</v>
      </c>
      <c r="AD69" s="13">
        <v>0.5632</v>
      </c>
      <c r="AE69" s="13">
        <v>0.100307</v>
      </c>
      <c r="AF69" s="13"/>
      <c r="AG69" s="13">
        <v>24.9214397532907</v>
      </c>
      <c r="AH69" s="13">
        <f t="shared" si="10"/>
        <v>0</v>
      </c>
      <c r="AI69" s="13">
        <v>0.91</v>
      </c>
      <c r="AJ69" s="13">
        <f t="shared" si="11"/>
        <v>0</v>
      </c>
      <c r="AK69" s="13">
        <v>0.151287</v>
      </c>
      <c r="AL69" s="13">
        <v>0.083057</v>
      </c>
      <c r="AM69" s="13">
        <v>0.7051</v>
      </c>
      <c r="AN69" s="13">
        <v>2.5958</v>
      </c>
      <c r="AO69" s="13">
        <v>0.160216023615267</v>
      </c>
      <c r="AP69" s="13">
        <v>0.55220761735291</v>
      </c>
      <c r="AQ69" s="13">
        <v>0.297193</v>
      </c>
      <c r="AR69" s="13">
        <v>0.4</v>
      </c>
      <c r="AS69" s="13">
        <v>15.663073829898</v>
      </c>
      <c r="AT69" s="13">
        <f t="shared" si="12"/>
        <v>0.0255377714709147</v>
      </c>
      <c r="AU69" s="13">
        <v>1.42</v>
      </c>
      <c r="AV69" s="13">
        <f t="shared" si="13"/>
        <v>0.28169014084507</v>
      </c>
      <c r="AW69" s="13">
        <v>0.205639</v>
      </c>
      <c r="AX69" s="13">
        <v>0.115308</v>
      </c>
      <c r="AY69" s="13">
        <v>0.6859</v>
      </c>
      <c r="AZ69" s="13">
        <v>2.5969</v>
      </c>
      <c r="BA69" s="13">
        <v>0.192745119858996</v>
      </c>
      <c r="BB69" s="13">
        <v>0.540665888346273</v>
      </c>
      <c r="BC69" s="13">
        <v>0.119976</v>
      </c>
    </row>
    <row r="70" spans="1:55">
      <c r="A70" s="8" t="s">
        <v>287</v>
      </c>
      <c r="B70" s="8" t="s">
        <v>288</v>
      </c>
      <c r="C70" s="8" t="s">
        <v>82</v>
      </c>
      <c r="D70" s="9">
        <v>6511</v>
      </c>
      <c r="E70" s="8" t="s">
        <v>58</v>
      </c>
      <c r="F70" s="8" t="s">
        <v>67</v>
      </c>
      <c r="G70" s="10">
        <v>25123973708.24</v>
      </c>
      <c r="H70" s="10">
        <v>3</v>
      </c>
      <c r="I70" s="9">
        <v>1274096420</v>
      </c>
      <c r="J70" s="9">
        <v>2033891587</v>
      </c>
      <c r="K70" s="11">
        <v>73.9689</v>
      </c>
      <c r="L70" s="12">
        <v>41662</v>
      </c>
      <c r="M70" s="12">
        <v>36683</v>
      </c>
      <c r="N70" s="9">
        <f t="shared" si="7"/>
        <v>4979</v>
      </c>
      <c r="O70" s="13">
        <v>36.5</v>
      </c>
      <c r="P70" s="13">
        <v>2.8</v>
      </c>
      <c r="Q70" s="13">
        <v>1.77</v>
      </c>
      <c r="R70" s="8" t="s">
        <v>289</v>
      </c>
      <c r="S70" s="13">
        <v>305798</v>
      </c>
      <c r="T70" s="13">
        <v>0.1</v>
      </c>
      <c r="U70" s="13">
        <v>20.1311</v>
      </c>
      <c r="V70" s="13">
        <f t="shared" si="8"/>
        <v>0.00496743844101912</v>
      </c>
      <c r="W70" s="13">
        <v>0.25</v>
      </c>
      <c r="X70" s="13">
        <f t="shared" si="9"/>
        <v>0.4</v>
      </c>
      <c r="Y70" s="13">
        <v>0.036581</v>
      </c>
      <c r="Z70" s="13">
        <v>0.038219</v>
      </c>
      <c r="AA70" s="13">
        <v>0.5224</v>
      </c>
      <c r="AB70" s="13">
        <v>1.8116</v>
      </c>
      <c r="AC70" s="13">
        <v>0.0704</v>
      </c>
      <c r="AD70" s="13">
        <v>0.2759</v>
      </c>
      <c r="AE70" s="13">
        <v>-0.187368</v>
      </c>
      <c r="AF70" s="13">
        <v>0.6</v>
      </c>
      <c r="AG70" s="13">
        <v>58.3199730601032</v>
      </c>
      <c r="AH70" s="13">
        <f t="shared" si="10"/>
        <v>0.0102880705960144</v>
      </c>
      <c r="AI70" s="13">
        <v>2.99</v>
      </c>
      <c r="AJ70" s="13">
        <f t="shared" si="11"/>
        <v>0.20066889632107</v>
      </c>
      <c r="AK70" s="13">
        <v>0.580071</v>
      </c>
      <c r="AL70" s="13">
        <v>0.261866</v>
      </c>
      <c r="AM70" s="13">
        <v>1.132</v>
      </c>
      <c r="AN70" s="13">
        <v>2.0013</v>
      </c>
      <c r="AO70" s="13">
        <v>0.1865784750555</v>
      </c>
      <c r="AP70" s="13">
        <v>0.546873946625891</v>
      </c>
      <c r="AQ70" s="13">
        <v>1.012202</v>
      </c>
      <c r="AR70" s="13">
        <v>0.3</v>
      </c>
      <c r="AS70" s="13">
        <v>37.2059657847082</v>
      </c>
      <c r="AT70" s="13">
        <f t="shared" si="12"/>
        <v>0.00806322302546709</v>
      </c>
      <c r="AU70" s="13">
        <v>0.99</v>
      </c>
      <c r="AV70" s="13">
        <f t="shared" si="13"/>
        <v>0.303030303030303</v>
      </c>
      <c r="AW70" s="13">
        <v>0.145991</v>
      </c>
      <c r="AX70" s="13">
        <v>0.119589</v>
      </c>
      <c r="AY70" s="13">
        <v>0.6223</v>
      </c>
      <c r="AZ70" s="13">
        <v>1.9115</v>
      </c>
      <c r="BA70" s="13">
        <v>0.147631890787775</v>
      </c>
      <c r="BB70" s="13">
        <v>0.385531129977445</v>
      </c>
      <c r="BC70" s="13">
        <v>-0.309733</v>
      </c>
    </row>
    <row r="71" spans="1:55">
      <c r="A71" s="8" t="s">
        <v>290</v>
      </c>
      <c r="B71" s="8" t="s">
        <v>291</v>
      </c>
      <c r="C71" s="8" t="s">
        <v>82</v>
      </c>
      <c r="D71" s="9">
        <v>133642</v>
      </c>
      <c r="E71" s="8" t="s">
        <v>158</v>
      </c>
      <c r="F71" s="8" t="s">
        <v>292</v>
      </c>
      <c r="G71" s="10">
        <v>180755919633.38</v>
      </c>
      <c r="H71" s="10">
        <v>4</v>
      </c>
      <c r="I71" s="9">
        <v>2424149838</v>
      </c>
      <c r="J71" s="9">
        <v>5462771144</v>
      </c>
      <c r="K71" s="11">
        <v>69.7557</v>
      </c>
      <c r="L71" s="12">
        <v>41667</v>
      </c>
      <c r="M71" s="12">
        <v>36720</v>
      </c>
      <c r="N71" s="9">
        <f t="shared" si="7"/>
        <v>4947</v>
      </c>
      <c r="O71" s="13">
        <v>38.19</v>
      </c>
      <c r="P71" s="13">
        <v>15.54</v>
      </c>
      <c r="Q71" s="13">
        <v>3.34</v>
      </c>
      <c r="R71" s="8" t="s">
        <v>293</v>
      </c>
      <c r="S71" s="13">
        <v>185571</v>
      </c>
      <c r="T71" s="13">
        <v>0.574269</v>
      </c>
      <c r="U71" s="13">
        <v>42.2913</v>
      </c>
      <c r="V71" s="13">
        <f t="shared" si="8"/>
        <v>0.0135788921125622</v>
      </c>
      <c r="W71" s="13">
        <v>3.3</v>
      </c>
      <c r="X71" s="13">
        <f t="shared" si="9"/>
        <v>0.174020909090909</v>
      </c>
      <c r="Y71" s="13">
        <v>0.265183</v>
      </c>
      <c r="Z71" s="13">
        <v>0.137191</v>
      </c>
      <c r="AA71" s="13">
        <v>0.7202</v>
      </c>
      <c r="AB71" s="13">
        <v>2.8404</v>
      </c>
      <c r="AC71" s="13">
        <v>0.2722</v>
      </c>
      <c r="AD71" s="13">
        <v>0.2001</v>
      </c>
      <c r="AE71" s="13">
        <v>0.244326</v>
      </c>
      <c r="AF71" s="13">
        <v>0.7381783</v>
      </c>
      <c r="AG71" s="13">
        <v>54.994966762112</v>
      </c>
      <c r="AH71" s="13">
        <f t="shared" si="10"/>
        <v>0.0134226519891009</v>
      </c>
      <c r="AI71" s="13">
        <v>2.49</v>
      </c>
      <c r="AJ71" s="13">
        <f t="shared" si="11"/>
        <v>0.296457148594377</v>
      </c>
      <c r="AK71" s="13">
        <v>0.210348</v>
      </c>
      <c r="AL71" s="13">
        <v>0.119634</v>
      </c>
      <c r="AM71" s="13">
        <v>0.6743</v>
      </c>
      <c r="AN71" s="13">
        <v>2.9351</v>
      </c>
      <c r="AO71" s="13">
        <v>0.18434069576</v>
      </c>
      <c r="AP71" s="13">
        <v>0.266820308445421</v>
      </c>
      <c r="AQ71" s="13">
        <v>0.582284</v>
      </c>
      <c r="AR71" s="13"/>
      <c r="AS71" s="13">
        <v>43.7308191796664</v>
      </c>
      <c r="AT71" s="13">
        <f t="shared" si="12"/>
        <v>0</v>
      </c>
      <c r="AU71" s="13">
        <v>-0.79</v>
      </c>
      <c r="AV71" s="13">
        <f t="shared" si="13"/>
        <v>0</v>
      </c>
      <c r="AW71" s="13">
        <v>-0.063342</v>
      </c>
      <c r="AX71" s="13">
        <v>-0.037596</v>
      </c>
      <c r="AY71" s="13">
        <v>0.5709</v>
      </c>
      <c r="AZ71" s="13">
        <v>2.885</v>
      </c>
      <c r="BA71" s="13">
        <v>0.089236441683893</v>
      </c>
      <c r="BB71" s="13">
        <v>0.206841103841043</v>
      </c>
      <c r="BC71" s="13">
        <v>-0.111879</v>
      </c>
    </row>
    <row r="72" spans="1:55">
      <c r="A72" s="8" t="s">
        <v>294</v>
      </c>
      <c r="B72" s="8" t="s">
        <v>295</v>
      </c>
      <c r="C72" s="8" t="s">
        <v>89</v>
      </c>
      <c r="D72" s="9">
        <v>10438</v>
      </c>
      <c r="E72" s="8" t="s">
        <v>58</v>
      </c>
      <c r="F72" s="8" t="s">
        <v>59</v>
      </c>
      <c r="G72" s="10">
        <v>561087355239.19</v>
      </c>
      <c r="H72" s="10">
        <v>1</v>
      </c>
      <c r="I72" s="9">
        <v>2640689313</v>
      </c>
      <c r="J72" s="9">
        <v>10241743060</v>
      </c>
      <c r="K72" s="11">
        <v>93.8554</v>
      </c>
      <c r="L72" s="12">
        <v>42002</v>
      </c>
      <c r="M72" s="12">
        <v>34515</v>
      </c>
      <c r="N72" s="9">
        <f t="shared" si="7"/>
        <v>7487</v>
      </c>
      <c r="O72" s="13">
        <v>31.47</v>
      </c>
      <c r="P72" s="13">
        <v>20.87</v>
      </c>
      <c r="Q72" s="13">
        <v>15.74</v>
      </c>
      <c r="R72" s="8" t="s">
        <v>296</v>
      </c>
      <c r="S72" s="13">
        <v>111087</v>
      </c>
      <c r="T72" s="13">
        <v>0.35</v>
      </c>
      <c r="U72" s="13">
        <v>10.0528</v>
      </c>
      <c r="V72" s="13">
        <f t="shared" si="8"/>
        <v>0.034816170619131</v>
      </c>
      <c r="W72" s="13">
        <v>0.72</v>
      </c>
      <c r="X72" s="13">
        <f t="shared" si="9"/>
        <v>0.486111111111111</v>
      </c>
      <c r="Y72" s="13">
        <v>0.071715</v>
      </c>
      <c r="Z72" s="13">
        <v>0.407437</v>
      </c>
      <c r="AA72" s="13">
        <v>0.0418</v>
      </c>
      <c r="AB72" s="13">
        <v>4.2089</v>
      </c>
      <c r="AC72" s="13">
        <v>1.6734</v>
      </c>
      <c r="AD72" s="13"/>
      <c r="AE72" s="13">
        <v>0.164597</v>
      </c>
      <c r="AF72" s="13">
        <v>0.27</v>
      </c>
      <c r="AG72" s="13">
        <v>9.82200295720723</v>
      </c>
      <c r="AH72" s="13">
        <f t="shared" si="10"/>
        <v>0.027489301436412</v>
      </c>
      <c r="AI72" s="13">
        <v>0.52</v>
      </c>
      <c r="AJ72" s="13">
        <f t="shared" si="11"/>
        <v>0.519230769230769</v>
      </c>
      <c r="AK72" s="13">
        <v>0.059746</v>
      </c>
      <c r="AL72" s="13">
        <v>0.383263</v>
      </c>
      <c r="AM72" s="13">
        <v>0.042</v>
      </c>
      <c r="AN72" s="13">
        <v>3.7127</v>
      </c>
      <c r="AO72" s="13">
        <v>-0.462435342840189</v>
      </c>
      <c r="AP72" s="13"/>
      <c r="AQ72" s="13">
        <v>-0.333456</v>
      </c>
      <c r="AR72" s="13">
        <v>0.27</v>
      </c>
      <c r="AS72" s="13">
        <v>9.52911802648037</v>
      </c>
      <c r="AT72" s="13">
        <f t="shared" si="12"/>
        <v>0.0283342067177361</v>
      </c>
      <c r="AU72" s="13">
        <v>0.54</v>
      </c>
      <c r="AV72" s="13">
        <f t="shared" si="13"/>
        <v>0.5</v>
      </c>
      <c r="AW72" s="13">
        <v>0.059144</v>
      </c>
      <c r="AX72" s="13">
        <v>0.371158</v>
      </c>
      <c r="AY72" s="13">
        <v>0.0404</v>
      </c>
      <c r="AZ72" s="13">
        <v>3.9444</v>
      </c>
      <c r="BA72" s="13">
        <v>-2.76352503384692</v>
      </c>
      <c r="BB72" s="13"/>
      <c r="BC72" s="13">
        <v>0.090774</v>
      </c>
    </row>
    <row r="73" spans="1:55">
      <c r="A73" s="8" t="s">
        <v>297</v>
      </c>
      <c r="B73" s="8" t="s">
        <v>298</v>
      </c>
      <c r="C73" s="8" t="s">
        <v>77</v>
      </c>
      <c r="D73" s="9">
        <v>17310</v>
      </c>
      <c r="E73" s="8" t="s">
        <v>58</v>
      </c>
      <c r="F73" s="8" t="s">
        <v>67</v>
      </c>
      <c r="G73" s="10">
        <v>28774200239.68</v>
      </c>
      <c r="H73" s="10">
        <v>36</v>
      </c>
      <c r="I73" s="9">
        <v>238531361</v>
      </c>
      <c r="J73" s="9">
        <v>666740795</v>
      </c>
      <c r="K73" s="11">
        <v>99.742</v>
      </c>
      <c r="L73" s="12">
        <v>43082</v>
      </c>
      <c r="M73" s="12">
        <v>30866</v>
      </c>
      <c r="N73" s="9">
        <f t="shared" si="7"/>
        <v>12216</v>
      </c>
      <c r="O73" s="13">
        <v>63.97</v>
      </c>
      <c r="P73" s="13">
        <v>3.26</v>
      </c>
      <c r="Q73" s="13">
        <v>0.71</v>
      </c>
      <c r="R73" s="8" t="s">
        <v>299</v>
      </c>
      <c r="S73" s="13">
        <v>39473</v>
      </c>
      <c r="T73" s="13">
        <v>1.5</v>
      </c>
      <c r="U73" s="13">
        <v>97.8547</v>
      </c>
      <c r="V73" s="13">
        <f t="shared" si="8"/>
        <v>0.015328849815083</v>
      </c>
      <c r="W73" s="13">
        <v>3.66</v>
      </c>
      <c r="X73" s="13">
        <f t="shared" si="9"/>
        <v>0.409836065573771</v>
      </c>
      <c r="Y73" s="13">
        <v>0.135073</v>
      </c>
      <c r="Z73" s="13">
        <v>0.104913</v>
      </c>
      <c r="AA73" s="13">
        <v>0.7476</v>
      </c>
      <c r="AB73" s="13">
        <v>1.7233</v>
      </c>
      <c r="AC73" s="13">
        <v>0.1665</v>
      </c>
      <c r="AD73" s="13">
        <v>0.2757</v>
      </c>
      <c r="AE73" s="13">
        <v>0.323886</v>
      </c>
      <c r="AF73" s="13">
        <v>1</v>
      </c>
      <c r="AG73" s="13">
        <v>93.2255926512266</v>
      </c>
      <c r="AH73" s="13">
        <f t="shared" si="10"/>
        <v>0.0107266681987335</v>
      </c>
      <c r="AI73" s="13">
        <v>3.22</v>
      </c>
      <c r="AJ73" s="13">
        <f t="shared" si="11"/>
        <v>0.31055900621118</v>
      </c>
      <c r="AK73" s="13">
        <v>0.157922</v>
      </c>
      <c r="AL73" s="13">
        <v>0.117204</v>
      </c>
      <c r="AM73" s="13">
        <v>0.7459</v>
      </c>
      <c r="AN73" s="13">
        <v>1.8067</v>
      </c>
      <c r="AO73" s="13">
        <v>0.227253441862095</v>
      </c>
      <c r="AP73" s="13">
        <v>0.380371241306924</v>
      </c>
      <c r="AQ73" s="13">
        <v>0.003581</v>
      </c>
      <c r="AR73" s="13">
        <v>0.9</v>
      </c>
      <c r="AS73" s="13">
        <v>79.6659437898172</v>
      </c>
      <c r="AT73" s="13">
        <f t="shared" si="12"/>
        <v>0.0112971736376396</v>
      </c>
      <c r="AU73" s="13">
        <v>2.73</v>
      </c>
      <c r="AV73" s="13">
        <f t="shared" si="13"/>
        <v>0.32967032967033</v>
      </c>
      <c r="AW73" s="13">
        <v>0.109944</v>
      </c>
      <c r="AX73" s="13">
        <v>0.103326</v>
      </c>
      <c r="AY73" s="13">
        <v>0.6243</v>
      </c>
      <c r="AZ73" s="13">
        <v>1.7038</v>
      </c>
      <c r="BA73" s="13">
        <v>0.191424032621623</v>
      </c>
      <c r="BB73" s="13">
        <v>0.262734316785857</v>
      </c>
      <c r="BC73" s="13">
        <v>-0.033306</v>
      </c>
    </row>
    <row r="74" spans="1:55">
      <c r="A74" s="8" t="s">
        <v>300</v>
      </c>
      <c r="B74" s="8" t="s">
        <v>301</v>
      </c>
      <c r="C74" s="8" t="s">
        <v>57</v>
      </c>
      <c r="D74" s="9">
        <v>9404</v>
      </c>
      <c r="E74" s="8" t="s">
        <v>58</v>
      </c>
      <c r="F74" s="8" t="s">
        <v>67</v>
      </c>
      <c r="G74" s="10">
        <v>27242299948.98</v>
      </c>
      <c r="H74" s="10">
        <v>11</v>
      </c>
      <c r="I74" s="9">
        <v>275729970</v>
      </c>
      <c r="J74" s="9">
        <v>596842634</v>
      </c>
      <c r="K74" s="11">
        <v>92.677</v>
      </c>
      <c r="L74" s="12">
        <v>43095</v>
      </c>
      <c r="M74" s="12">
        <v>31617</v>
      </c>
      <c r="N74" s="9">
        <f t="shared" si="7"/>
        <v>11478</v>
      </c>
      <c r="O74" s="13">
        <v>26.32</v>
      </c>
      <c r="P74" s="13">
        <v>20.16</v>
      </c>
      <c r="Q74" s="13"/>
      <c r="R74" s="8"/>
      <c r="S74" s="13">
        <v>56502</v>
      </c>
      <c r="T74" s="13">
        <v>1.2</v>
      </c>
      <c r="U74" s="13">
        <v>107.0797</v>
      </c>
      <c r="V74" s="13">
        <f t="shared" si="8"/>
        <v>0.0112066059206367</v>
      </c>
      <c r="W74" s="13">
        <v>3.63</v>
      </c>
      <c r="X74" s="13">
        <f t="shared" si="9"/>
        <v>0.330578512396694</v>
      </c>
      <c r="Y74" s="13">
        <v>0.227884</v>
      </c>
      <c r="Z74" s="13">
        <v>0.073071</v>
      </c>
      <c r="AA74" s="13">
        <v>1.3985</v>
      </c>
      <c r="AB74" s="13">
        <v>2.2447</v>
      </c>
      <c r="AC74" s="13">
        <v>0.0541</v>
      </c>
      <c r="AD74" s="13">
        <v>0.0864</v>
      </c>
      <c r="AE74" s="13">
        <v>0.260638</v>
      </c>
      <c r="AF74" s="13">
        <v>0.55</v>
      </c>
      <c r="AG74" s="13">
        <v>134.85235215578</v>
      </c>
      <c r="AH74" s="13">
        <f t="shared" si="10"/>
        <v>0.00407853471747119</v>
      </c>
      <c r="AI74" s="13">
        <v>2.15</v>
      </c>
      <c r="AJ74" s="13">
        <f t="shared" si="11"/>
        <v>0.255813953488372</v>
      </c>
      <c r="AK74" s="13">
        <v>0.20039</v>
      </c>
      <c r="AL74" s="13">
        <v>0.078442</v>
      </c>
      <c r="AM74" s="13">
        <v>1.2492</v>
      </c>
      <c r="AN74" s="13">
        <v>2.0234</v>
      </c>
      <c r="AO74" s="13">
        <v>0.0408225884006755</v>
      </c>
      <c r="AP74" s="13">
        <v>0.200272916158945</v>
      </c>
      <c r="AQ74" s="13">
        <v>0.560479</v>
      </c>
      <c r="AR74" s="13">
        <v>0.84</v>
      </c>
      <c r="AS74" s="13">
        <v>131.874760147497</v>
      </c>
      <c r="AT74" s="13">
        <f t="shared" si="12"/>
        <v>0.00636967983153479</v>
      </c>
      <c r="AU74" s="13">
        <v>2.81</v>
      </c>
      <c r="AV74" s="13">
        <f t="shared" si="13"/>
        <v>0.298932384341637</v>
      </c>
      <c r="AW74" s="13">
        <v>0.214392</v>
      </c>
      <c r="AX74" s="13">
        <v>0.070366</v>
      </c>
      <c r="AY74" s="13">
        <v>1.3792</v>
      </c>
      <c r="AZ74" s="13">
        <v>2.2018</v>
      </c>
      <c r="BA74" s="13">
        <v>0.052083375995013</v>
      </c>
      <c r="BB74" s="13">
        <v>0.151377825082618</v>
      </c>
      <c r="BC74" s="13">
        <v>0.467096</v>
      </c>
    </row>
    <row r="75" spans="1:55">
      <c r="A75" s="8" t="s">
        <v>302</v>
      </c>
      <c r="B75" s="8" t="s">
        <v>303</v>
      </c>
      <c r="C75" s="8" t="s">
        <v>57</v>
      </c>
      <c r="D75" s="9">
        <v>43130</v>
      </c>
      <c r="E75" s="8" t="s">
        <v>58</v>
      </c>
      <c r="F75" s="8" t="s">
        <v>67</v>
      </c>
      <c r="G75" s="10">
        <v>47925202007.71</v>
      </c>
      <c r="H75" s="10">
        <v>5</v>
      </c>
      <c r="I75" s="9">
        <v>631942175</v>
      </c>
      <c r="J75" s="9">
        <v>2318051016</v>
      </c>
      <c r="K75" s="11">
        <v>99.6261</v>
      </c>
      <c r="L75" s="12">
        <v>43361</v>
      </c>
      <c r="M75" s="12">
        <v>36279</v>
      </c>
      <c r="N75" s="9">
        <f t="shared" si="7"/>
        <v>7082</v>
      </c>
      <c r="O75" s="13">
        <v>66.19</v>
      </c>
      <c r="P75" s="13">
        <v>5.71</v>
      </c>
      <c r="Q75" s="13">
        <v>3.55</v>
      </c>
      <c r="R75" s="8" t="s">
        <v>304</v>
      </c>
      <c r="S75" s="13">
        <v>75458</v>
      </c>
      <c r="T75" s="13">
        <v>1</v>
      </c>
      <c r="U75" s="13">
        <v>31.3018</v>
      </c>
      <c r="V75" s="13">
        <f t="shared" si="8"/>
        <v>0.031947044578906</v>
      </c>
      <c r="W75" s="13">
        <v>1.56</v>
      </c>
      <c r="X75" s="13">
        <f t="shared" si="9"/>
        <v>0.641025641025641</v>
      </c>
      <c r="Y75" s="13">
        <v>0.117238</v>
      </c>
      <c r="Z75" s="13">
        <v>0.102988</v>
      </c>
      <c r="AA75" s="13">
        <v>0.8095</v>
      </c>
      <c r="AB75" s="13">
        <v>1.4058</v>
      </c>
      <c r="AC75" s="13">
        <v>0.2015</v>
      </c>
      <c r="AD75" s="13">
        <v>1.2109</v>
      </c>
      <c r="AE75" s="13">
        <v>0.095875</v>
      </c>
      <c r="AF75" s="13">
        <v>0.7</v>
      </c>
      <c r="AG75" s="13">
        <v>30.7986321083039</v>
      </c>
      <c r="AH75" s="13">
        <f t="shared" si="10"/>
        <v>0.0227282821372858</v>
      </c>
      <c r="AI75" s="13">
        <v>2.16</v>
      </c>
      <c r="AJ75" s="13">
        <f t="shared" si="11"/>
        <v>0.324074074074074</v>
      </c>
      <c r="AK75" s="13">
        <v>0.193683</v>
      </c>
      <c r="AL75" s="13">
        <v>0.138398</v>
      </c>
      <c r="AM75" s="13">
        <v>0.9741</v>
      </c>
      <c r="AN75" s="13">
        <v>1.4366</v>
      </c>
      <c r="AO75" s="13">
        <v>0.302581331429971</v>
      </c>
      <c r="AP75" s="13">
        <v>0.821231834326072</v>
      </c>
      <c r="AQ75" s="13">
        <v>0.086932</v>
      </c>
      <c r="AR75" s="13">
        <v>0.5</v>
      </c>
      <c r="AS75" s="13">
        <v>25.9962256305402</v>
      </c>
      <c r="AT75" s="13">
        <f t="shared" si="12"/>
        <v>0.0192335613294802</v>
      </c>
      <c r="AU75" s="13">
        <v>1.42</v>
      </c>
      <c r="AV75" s="13">
        <f t="shared" si="13"/>
        <v>0.352112676056338</v>
      </c>
      <c r="AW75" s="13">
        <v>0.114155</v>
      </c>
      <c r="AX75" s="13">
        <v>0.102501</v>
      </c>
      <c r="AY75" s="13">
        <v>0.791</v>
      </c>
      <c r="AZ75" s="13">
        <v>1.408</v>
      </c>
      <c r="BA75" s="13">
        <v>0.24850464480122</v>
      </c>
      <c r="BB75" s="13">
        <v>0.923076620512558</v>
      </c>
      <c r="BC75" s="13">
        <v>-0.114466</v>
      </c>
    </row>
    <row r="76" spans="1:55">
      <c r="A76" s="8" t="s">
        <v>305</v>
      </c>
      <c r="B76" s="8" t="s">
        <v>306</v>
      </c>
      <c r="C76" s="8" t="s">
        <v>77</v>
      </c>
      <c r="D76" s="9">
        <v>20277</v>
      </c>
      <c r="E76" s="8" t="s">
        <v>58</v>
      </c>
      <c r="F76" s="8" t="s">
        <v>307</v>
      </c>
      <c r="G76" s="10">
        <v>447141830393.99</v>
      </c>
      <c r="H76" s="10">
        <v>6</v>
      </c>
      <c r="I76" s="9">
        <v>6729832225</v>
      </c>
      <c r="J76" s="9">
        <v>50498611100</v>
      </c>
      <c r="K76" s="11">
        <v>77.8932</v>
      </c>
      <c r="L76" s="12">
        <v>43703</v>
      </c>
      <c r="M76" s="12">
        <v>41723</v>
      </c>
      <c r="N76" s="9">
        <f t="shared" si="7"/>
        <v>1980</v>
      </c>
      <c r="O76" s="13">
        <v>58.89</v>
      </c>
      <c r="P76" s="13">
        <v>14.83</v>
      </c>
      <c r="Q76" s="13">
        <v>6.79</v>
      </c>
      <c r="R76" s="8" t="s">
        <v>308</v>
      </c>
      <c r="S76" s="13">
        <v>225270</v>
      </c>
      <c r="T76" s="13">
        <v>0.095</v>
      </c>
      <c r="U76" s="13">
        <v>4.1837</v>
      </c>
      <c r="V76" s="13">
        <f t="shared" si="8"/>
        <v>0.0227071730764634</v>
      </c>
      <c r="W76" s="13">
        <v>0.214</v>
      </c>
      <c r="X76" s="13">
        <f t="shared" si="9"/>
        <v>0.44392523364486</v>
      </c>
      <c r="Y76" s="13">
        <v>0.092952</v>
      </c>
      <c r="Z76" s="13">
        <v>0.200956</v>
      </c>
      <c r="AA76" s="13">
        <v>0.2065</v>
      </c>
      <c r="AB76" s="13">
        <v>3.6129</v>
      </c>
      <c r="AC76" s="13">
        <v>0.4379</v>
      </c>
      <c r="AD76" s="13">
        <v>0.2013</v>
      </c>
      <c r="AE76" s="13">
        <v>0.051555</v>
      </c>
      <c r="AF76" s="13">
        <v>0.087</v>
      </c>
      <c r="AG76" s="13">
        <v>2.81258557821225</v>
      </c>
      <c r="AH76" s="13">
        <f t="shared" si="10"/>
        <v>0.0309323921284199</v>
      </c>
      <c r="AI76" s="13">
        <v>0.197</v>
      </c>
      <c r="AJ76" s="13">
        <f t="shared" si="11"/>
        <v>0.441624365482233</v>
      </c>
      <c r="AK76" s="13">
        <v>0.095844</v>
      </c>
      <c r="AL76" s="13">
        <v>0.184041</v>
      </c>
      <c r="AM76" s="13">
        <v>0.2048</v>
      </c>
      <c r="AN76" s="13">
        <v>3.8906</v>
      </c>
      <c r="AO76" s="13">
        <v>0.378743034859104</v>
      </c>
      <c r="AP76" s="13">
        <v>0.194981034432373</v>
      </c>
      <c r="AQ76" s="13">
        <v>0.02657</v>
      </c>
      <c r="AR76" s="13">
        <v>0.094</v>
      </c>
      <c r="AS76" s="13">
        <v>3.02298398159321</v>
      </c>
      <c r="AT76" s="13">
        <f t="shared" si="12"/>
        <v>0.0310951035706312</v>
      </c>
      <c r="AU76" s="13">
        <v>0.212</v>
      </c>
      <c r="AV76" s="13">
        <f t="shared" si="13"/>
        <v>0.443396226415094</v>
      </c>
      <c r="AW76" s="13">
        <v>0.097379</v>
      </c>
      <c r="AX76" s="13">
        <v>0.206494</v>
      </c>
      <c r="AY76" s="13">
        <v>0.2003</v>
      </c>
      <c r="AZ76" s="13">
        <v>3.7422</v>
      </c>
      <c r="BA76" s="13">
        <v>0.401216700949271</v>
      </c>
      <c r="BB76" s="13">
        <v>0.203400214555527</v>
      </c>
      <c r="BC76" s="13">
        <v>-0.003305</v>
      </c>
    </row>
    <row r="77" spans="1:55">
      <c r="A77" s="8" t="s">
        <v>309</v>
      </c>
      <c r="B77" s="8" t="s">
        <v>310</v>
      </c>
      <c r="C77" s="8" t="s">
        <v>82</v>
      </c>
      <c r="D77" s="9">
        <v>29994</v>
      </c>
      <c r="E77" s="8" t="s">
        <v>58</v>
      </c>
      <c r="F77" s="8" t="s">
        <v>67</v>
      </c>
      <c r="G77" s="10">
        <v>116370312830.31</v>
      </c>
      <c r="H77" s="10">
        <v>0</v>
      </c>
      <c r="I77" s="9">
        <v>1311119604</v>
      </c>
      <c r="J77" s="9">
        <v>2101724382</v>
      </c>
      <c r="K77" s="11">
        <v>97.1067</v>
      </c>
      <c r="L77" s="12">
        <v>40116</v>
      </c>
      <c r="M77" s="12">
        <v>37249</v>
      </c>
      <c r="N77" s="9">
        <f t="shared" si="7"/>
        <v>2867</v>
      </c>
      <c r="O77" s="13">
        <v>31.79</v>
      </c>
      <c r="P77" s="13"/>
      <c r="Q77" s="13"/>
      <c r="R77" s="8"/>
      <c r="S77" s="13">
        <v>187471</v>
      </c>
      <c r="T77" s="13">
        <v>0.5</v>
      </c>
      <c r="U77" s="13">
        <v>42.4905</v>
      </c>
      <c r="V77" s="13">
        <f t="shared" si="8"/>
        <v>0.011767336228098</v>
      </c>
      <c r="W77" s="13">
        <v>1.99</v>
      </c>
      <c r="X77" s="13">
        <f t="shared" si="9"/>
        <v>0.251256281407035</v>
      </c>
      <c r="Y77" s="13">
        <v>0.11272</v>
      </c>
      <c r="Z77" s="13">
        <v>0.086834</v>
      </c>
      <c r="AA77" s="13">
        <v>0.498</v>
      </c>
      <c r="AB77" s="13">
        <v>2.7</v>
      </c>
      <c r="AC77" s="13">
        <v>0.0912</v>
      </c>
      <c r="AD77" s="13">
        <v>0.4161</v>
      </c>
      <c r="AE77" s="13">
        <v>-0.003465</v>
      </c>
      <c r="AF77" s="13">
        <v>0.16</v>
      </c>
      <c r="AG77" s="13">
        <v>88.8542515255255</v>
      </c>
      <c r="AH77" s="13">
        <f t="shared" si="10"/>
        <v>0.001800701680032</v>
      </c>
      <c r="AI77" s="13">
        <v>1.84</v>
      </c>
      <c r="AJ77" s="13">
        <f t="shared" si="11"/>
        <v>0.0869565217391304</v>
      </c>
      <c r="AK77" s="13">
        <v>0.145156</v>
      </c>
      <c r="AL77" s="13">
        <v>0.101143</v>
      </c>
      <c r="AM77" s="13">
        <v>0.5665</v>
      </c>
      <c r="AN77" s="13">
        <v>2.651</v>
      </c>
      <c r="AO77" s="13">
        <v>0.0787853713109945</v>
      </c>
      <c r="AP77" s="13">
        <v>0.427824755186794</v>
      </c>
      <c r="AQ77" s="13">
        <v>1.148187</v>
      </c>
      <c r="AR77" s="13">
        <v>0.5</v>
      </c>
      <c r="AS77" s="13">
        <v>60.5924163684485</v>
      </c>
      <c r="AT77" s="13">
        <f t="shared" si="12"/>
        <v>0.00825185774007782</v>
      </c>
      <c r="AU77" s="13">
        <v>1.98</v>
      </c>
      <c r="AV77" s="13">
        <f t="shared" si="13"/>
        <v>0.252525252525253</v>
      </c>
      <c r="AW77" s="13">
        <v>0.124341</v>
      </c>
      <c r="AX77" s="13">
        <v>0.09266</v>
      </c>
      <c r="AY77" s="13">
        <v>0.5482</v>
      </c>
      <c r="AZ77" s="13">
        <v>2.7322</v>
      </c>
      <c r="BA77" s="13">
        <v>0.177852024900156</v>
      </c>
      <c r="BB77" s="13">
        <v>0.407122801164484</v>
      </c>
      <c r="BC77" s="13">
        <v>0.343754</v>
      </c>
    </row>
    <row r="78" spans="1:55">
      <c r="A78" s="8" t="s">
        <v>311</v>
      </c>
      <c r="B78" s="8" t="s">
        <v>312</v>
      </c>
      <c r="C78" s="8" t="s">
        <v>82</v>
      </c>
      <c r="D78" s="9">
        <v>42693</v>
      </c>
      <c r="E78" s="8" t="s">
        <v>73</v>
      </c>
      <c r="F78" s="8" t="s">
        <v>313</v>
      </c>
      <c r="G78" s="10">
        <v>35836406967.01</v>
      </c>
      <c r="H78" s="10">
        <v>5</v>
      </c>
      <c r="I78" s="9">
        <v>4216255223</v>
      </c>
      <c r="J78" s="9">
        <v>9325396670</v>
      </c>
      <c r="K78" s="11">
        <v>85.3085</v>
      </c>
      <c r="L78" s="12">
        <v>40116</v>
      </c>
      <c r="M78" s="12">
        <v>37645</v>
      </c>
      <c r="N78" s="9">
        <f t="shared" si="7"/>
        <v>2471</v>
      </c>
      <c r="O78" s="13">
        <v>34.34</v>
      </c>
      <c r="P78" s="13">
        <v>15.48</v>
      </c>
      <c r="Q78" s="13">
        <v>3.46</v>
      </c>
      <c r="R78" s="8" t="s">
        <v>314</v>
      </c>
      <c r="S78" s="13">
        <v>344788</v>
      </c>
      <c r="T78" s="13">
        <v>0.160028</v>
      </c>
      <c r="U78" s="13">
        <v>13.4907</v>
      </c>
      <c r="V78" s="13">
        <f t="shared" si="8"/>
        <v>0.0118620975931568</v>
      </c>
      <c r="W78" s="13">
        <v>0.3847</v>
      </c>
      <c r="X78" s="13">
        <f t="shared" si="9"/>
        <v>0.415981284117494</v>
      </c>
      <c r="Y78" s="13">
        <v>0.179733</v>
      </c>
      <c r="Z78" s="13">
        <v>0.178056</v>
      </c>
      <c r="AA78" s="13">
        <v>0.6615</v>
      </c>
      <c r="AB78" s="13">
        <v>1.6033</v>
      </c>
      <c r="AC78" s="13">
        <v>0.2327</v>
      </c>
      <c r="AD78" s="13">
        <v>0.9138</v>
      </c>
      <c r="AE78" s="13">
        <v>0.030232</v>
      </c>
      <c r="AF78" s="13">
        <v>0.1000149</v>
      </c>
      <c r="AG78" s="13">
        <v>31.7793761925516</v>
      </c>
      <c r="AH78" s="13">
        <f t="shared" si="10"/>
        <v>0.00314716372637426</v>
      </c>
      <c r="AI78" s="13">
        <v>0.3649</v>
      </c>
      <c r="AJ78" s="13">
        <f t="shared" si="11"/>
        <v>0.274088517402028</v>
      </c>
      <c r="AK78" s="13">
        <v>0.180423</v>
      </c>
      <c r="AL78" s="13">
        <v>0.166915</v>
      </c>
      <c r="AM78" s="13">
        <v>0.6653</v>
      </c>
      <c r="AN78" s="13">
        <v>1.7307</v>
      </c>
      <c r="AO78" s="13">
        <v>0.27875168667798</v>
      </c>
      <c r="AP78" s="13">
        <v>1.28600971517423</v>
      </c>
      <c r="AQ78" s="13">
        <v>0.073938</v>
      </c>
      <c r="AR78" s="13">
        <v>0.1500225</v>
      </c>
      <c r="AS78" s="13">
        <v>22.4068764950648</v>
      </c>
      <c r="AT78" s="13">
        <f t="shared" si="12"/>
        <v>0.00669537764592236</v>
      </c>
      <c r="AU78" s="13">
        <v>0.3644</v>
      </c>
      <c r="AV78" s="13">
        <f t="shared" si="13"/>
        <v>0.41169731064764</v>
      </c>
      <c r="AW78" s="13">
        <v>0.189087</v>
      </c>
      <c r="AX78" s="13">
        <v>0.179504</v>
      </c>
      <c r="AY78" s="13">
        <v>0.7176</v>
      </c>
      <c r="AZ78" s="13">
        <v>1.5978</v>
      </c>
      <c r="BA78" s="13">
        <v>0.288301905206914</v>
      </c>
      <c r="BB78" s="13">
        <v>1.14955669838629</v>
      </c>
      <c r="BC78" s="13">
        <v>0.26426</v>
      </c>
    </row>
    <row r="79" spans="1:55">
      <c r="A79" s="8" t="s">
        <v>315</v>
      </c>
      <c r="B79" s="8" t="s">
        <v>316</v>
      </c>
      <c r="C79" s="8" t="s">
        <v>82</v>
      </c>
      <c r="D79" s="9">
        <v>5093</v>
      </c>
      <c r="E79" s="8" t="s">
        <v>165</v>
      </c>
      <c r="F79" s="8" t="s">
        <v>59</v>
      </c>
      <c r="G79" s="10">
        <v>11453177228.47</v>
      </c>
      <c r="H79" s="10">
        <v>0</v>
      </c>
      <c r="I79" s="9">
        <v>197492299</v>
      </c>
      <c r="J79" s="9">
        <v>537600000</v>
      </c>
      <c r="K79" s="11">
        <v>51.2473</v>
      </c>
      <c r="L79" s="12">
        <v>40172</v>
      </c>
      <c r="M79" s="12">
        <v>37127</v>
      </c>
      <c r="N79" s="9">
        <f t="shared" si="7"/>
        <v>3045</v>
      </c>
      <c r="O79" s="13">
        <v>36.13</v>
      </c>
      <c r="P79" s="13">
        <v>11.11</v>
      </c>
      <c r="Q79" s="13">
        <v>8.83</v>
      </c>
      <c r="R79" s="8" t="s">
        <v>317</v>
      </c>
      <c r="S79" s="13">
        <v>82582</v>
      </c>
      <c r="T79" s="13">
        <v>3</v>
      </c>
      <c r="U79" s="13">
        <v>200.4262</v>
      </c>
      <c r="V79" s="13">
        <f t="shared" si="8"/>
        <v>0.0149681029725655</v>
      </c>
      <c r="W79" s="13">
        <v>3.39</v>
      </c>
      <c r="X79" s="13">
        <f t="shared" si="9"/>
        <v>0.884955752212389</v>
      </c>
      <c r="Y79" s="13">
        <v>0.238441</v>
      </c>
      <c r="Z79" s="13">
        <v>0.435483</v>
      </c>
      <c r="AA79" s="13">
        <v>0.4022</v>
      </c>
      <c r="AB79" s="13">
        <v>1.3615</v>
      </c>
      <c r="AC79" s="13">
        <v>0.5531</v>
      </c>
      <c r="AD79" s="13">
        <v>3.2048</v>
      </c>
      <c r="AE79" s="13">
        <v>0.17466</v>
      </c>
      <c r="AF79" s="13">
        <v>2.5</v>
      </c>
      <c r="AG79" s="13">
        <v>96.7512770152235</v>
      </c>
      <c r="AH79" s="13">
        <f t="shared" si="10"/>
        <v>0.025839452223526</v>
      </c>
      <c r="AI79" s="13">
        <v>3.15</v>
      </c>
      <c r="AJ79" s="13">
        <f t="shared" si="11"/>
        <v>0.793650793650794</v>
      </c>
      <c r="AK79" s="13">
        <v>0.246494</v>
      </c>
      <c r="AL79" s="13">
        <v>0.475167</v>
      </c>
      <c r="AM79" s="13">
        <v>0.4061</v>
      </c>
      <c r="AN79" s="13">
        <v>1.2774</v>
      </c>
      <c r="AO79" s="13">
        <v>0.491582243237175</v>
      </c>
      <c r="AP79" s="13">
        <v>4.48245711552738</v>
      </c>
      <c r="AQ79" s="13">
        <v>0.014038</v>
      </c>
      <c r="AR79" s="13">
        <v>2.2</v>
      </c>
      <c r="AS79" s="13">
        <v>166.329776971827</v>
      </c>
      <c r="AT79" s="13">
        <f t="shared" si="12"/>
        <v>0.0132267357057338</v>
      </c>
      <c r="AU79" s="13">
        <v>2.61</v>
      </c>
      <c r="AV79" s="13">
        <f t="shared" si="13"/>
        <v>0.842911877394636</v>
      </c>
      <c r="AW79" s="13">
        <v>0.19259</v>
      </c>
      <c r="AX79" s="13">
        <v>0.393483</v>
      </c>
      <c r="AY79" s="13">
        <v>0.3777</v>
      </c>
      <c r="AZ79" s="13">
        <v>1.2958</v>
      </c>
      <c r="BA79" s="13">
        <v>0.446628842168066</v>
      </c>
      <c r="BB79" s="13">
        <v>3.38164534383676</v>
      </c>
      <c r="BC79" s="13">
        <v>0.001439</v>
      </c>
    </row>
    <row r="80" spans="1:55">
      <c r="A80" s="8" t="s">
        <v>318</v>
      </c>
      <c r="B80" s="8" t="s">
        <v>319</v>
      </c>
      <c r="C80" s="8" t="s">
        <v>82</v>
      </c>
      <c r="D80" s="9">
        <v>5560</v>
      </c>
      <c r="E80" s="8" t="s">
        <v>198</v>
      </c>
      <c r="F80" s="8" t="s">
        <v>59</v>
      </c>
      <c r="G80" s="10">
        <v>380254562932.84</v>
      </c>
      <c r="H80" s="10">
        <v>0</v>
      </c>
      <c r="I80" s="9">
        <v>12243975771</v>
      </c>
      <c r="J80" s="9">
        <v>15804037675</v>
      </c>
      <c r="K80" s="11">
        <v>84.639</v>
      </c>
      <c r="L80" s="12">
        <v>40256</v>
      </c>
      <c r="M80" s="12">
        <v>38372</v>
      </c>
      <c r="N80" s="9">
        <f t="shared" si="7"/>
        <v>1884</v>
      </c>
      <c r="O80" s="13">
        <v>19.38</v>
      </c>
      <c r="P80" s="13">
        <v>3.42</v>
      </c>
      <c r="Q80" s="13">
        <v>2.32</v>
      </c>
      <c r="R80" s="8" t="s">
        <v>320</v>
      </c>
      <c r="S80" s="13">
        <v>1013879</v>
      </c>
      <c r="T80" s="13">
        <v>0.06</v>
      </c>
      <c r="U80" s="13">
        <v>20.56</v>
      </c>
      <c r="V80" s="13">
        <f t="shared" si="8"/>
        <v>0.00291828793774319</v>
      </c>
      <c r="W80" s="13">
        <v>0.6087</v>
      </c>
      <c r="X80" s="13">
        <f t="shared" si="9"/>
        <v>0.098570724494825</v>
      </c>
      <c r="Y80" s="13">
        <v>0.125878</v>
      </c>
      <c r="Z80" s="13">
        <v>0.828149</v>
      </c>
      <c r="AA80" s="13">
        <v>0.0425</v>
      </c>
      <c r="AB80" s="13">
        <v>3.5755</v>
      </c>
      <c r="AC80" s="13">
        <v>14.3336</v>
      </c>
      <c r="AD80" s="13">
        <v>0.8467</v>
      </c>
      <c r="AE80" s="13">
        <v>0.047187</v>
      </c>
      <c r="AF80" s="13">
        <v>0.07</v>
      </c>
      <c r="AG80" s="13">
        <v>22.7853803384257</v>
      </c>
      <c r="AH80" s="13">
        <f t="shared" si="10"/>
        <v>0.00307214533882284</v>
      </c>
      <c r="AI80" s="13">
        <v>0.65</v>
      </c>
      <c r="AJ80" s="13">
        <f t="shared" si="11"/>
        <v>0.107692307692308</v>
      </c>
      <c r="AK80" s="13">
        <v>0.155844</v>
      </c>
      <c r="AL80" s="13">
        <v>0.681543</v>
      </c>
      <c r="AM80" s="13">
        <v>0.0629</v>
      </c>
      <c r="AN80" s="13">
        <v>3.6345</v>
      </c>
      <c r="AO80" s="13">
        <v>0.102315331721237</v>
      </c>
      <c r="AP80" s="13">
        <v>0.952316069713734</v>
      </c>
      <c r="AQ80" s="13">
        <v>-0.046489</v>
      </c>
      <c r="AR80" s="13">
        <v>0.04</v>
      </c>
      <c r="AS80" s="13">
        <v>17.0742157791468</v>
      </c>
      <c r="AT80" s="13">
        <f t="shared" si="12"/>
        <v>0.00234271374553279</v>
      </c>
      <c r="AU80" s="13">
        <v>0.52</v>
      </c>
      <c r="AV80" s="13">
        <f t="shared" si="13"/>
        <v>0.0769230769230769</v>
      </c>
      <c r="AW80" s="13">
        <v>0.119501</v>
      </c>
      <c r="AX80" s="13">
        <v>0.739387</v>
      </c>
      <c r="AY80" s="13">
        <v>0.0491</v>
      </c>
      <c r="AZ80" s="13">
        <v>3.2923</v>
      </c>
      <c r="BA80" s="13">
        <v>-0.283151367888823</v>
      </c>
      <c r="BB80" s="13">
        <v>0.864126557426082</v>
      </c>
      <c r="BC80" s="13">
        <v>-0.112461</v>
      </c>
    </row>
    <row r="81" spans="1:55">
      <c r="A81" s="8" t="s">
        <v>321</v>
      </c>
      <c r="B81" s="8" t="s">
        <v>322</v>
      </c>
      <c r="C81" s="8" t="s">
        <v>82</v>
      </c>
      <c r="D81" s="9">
        <v>7220</v>
      </c>
      <c r="E81" s="8" t="s">
        <v>115</v>
      </c>
      <c r="F81" s="8" t="s">
        <v>67</v>
      </c>
      <c r="G81" s="10">
        <v>46392433396.07</v>
      </c>
      <c r="H81" s="10">
        <v>1</v>
      </c>
      <c r="I81" s="9">
        <v>1087812873</v>
      </c>
      <c r="J81" s="9">
        <v>2393789747</v>
      </c>
      <c r="K81" s="11">
        <v>59.0823</v>
      </c>
      <c r="L81" s="12">
        <v>40449</v>
      </c>
      <c r="M81" s="12">
        <v>34900</v>
      </c>
      <c r="N81" s="9">
        <f t="shared" si="7"/>
        <v>5549</v>
      </c>
      <c r="O81" s="13">
        <v>48.44</v>
      </c>
      <c r="P81" s="13">
        <v>5.41</v>
      </c>
      <c r="Q81" s="13">
        <v>3.34</v>
      </c>
      <c r="R81" s="8" t="s">
        <v>323</v>
      </c>
      <c r="S81" s="13">
        <v>127955</v>
      </c>
      <c r="T81" s="13"/>
      <c r="U81" s="13">
        <v>33.8745</v>
      </c>
      <c r="V81" s="13">
        <f t="shared" si="8"/>
        <v>0</v>
      </c>
      <c r="W81" s="13">
        <v>0.8427</v>
      </c>
      <c r="X81" s="13">
        <f t="shared" si="9"/>
        <v>0</v>
      </c>
      <c r="Y81" s="13">
        <v>0.06476</v>
      </c>
      <c r="Z81" s="13">
        <v>0.077426</v>
      </c>
      <c r="AA81" s="13">
        <v>0.5207</v>
      </c>
      <c r="AB81" s="13">
        <v>1.6065</v>
      </c>
      <c r="AC81" s="13">
        <v>-0.1693</v>
      </c>
      <c r="AD81" s="13">
        <v>0.1464</v>
      </c>
      <c r="AE81" s="13">
        <v>-0.507354</v>
      </c>
      <c r="AF81" s="13">
        <v>0.5</v>
      </c>
      <c r="AG81" s="13">
        <v>103.496201289341</v>
      </c>
      <c r="AH81" s="13">
        <f t="shared" si="10"/>
        <v>0.00483109518775637</v>
      </c>
      <c r="AI81" s="13">
        <v>4.7119</v>
      </c>
      <c r="AJ81" s="13">
        <f t="shared" si="11"/>
        <v>0.10611430633078</v>
      </c>
      <c r="AK81" s="13">
        <v>0.359913</v>
      </c>
      <c r="AL81" s="13">
        <v>0.197026</v>
      </c>
      <c r="AM81" s="13">
        <v>1.1246</v>
      </c>
      <c r="AN81" s="13">
        <v>1.6244</v>
      </c>
      <c r="AO81" s="13">
        <v>0.0519818240700263</v>
      </c>
      <c r="AP81" s="13">
        <v>0.198190677496344</v>
      </c>
      <c r="AQ81" s="13">
        <v>0.24832</v>
      </c>
      <c r="AR81" s="13">
        <v>0.8</v>
      </c>
      <c r="AS81" s="13">
        <v>64.5963004211486</v>
      </c>
      <c r="AT81" s="13">
        <f t="shared" si="12"/>
        <v>0.0123846101833114</v>
      </c>
      <c r="AU81" s="13">
        <v>3.3624</v>
      </c>
      <c r="AV81" s="13">
        <f t="shared" si="13"/>
        <v>0.237925291458482</v>
      </c>
      <c r="AW81" s="13">
        <v>0.289542</v>
      </c>
      <c r="AX81" s="13">
        <v>0.152498</v>
      </c>
      <c r="AY81" s="13">
        <v>1.1995</v>
      </c>
      <c r="AZ81" s="13">
        <v>1.5829</v>
      </c>
      <c r="BA81" s="13">
        <v>0.170006606215372</v>
      </c>
      <c r="BB81" s="13">
        <v>0.350566266680982</v>
      </c>
      <c r="BC81" s="13">
        <v>0.382964</v>
      </c>
    </row>
    <row r="82" spans="1:55">
      <c r="A82" s="8" t="s">
        <v>324</v>
      </c>
      <c r="B82" s="8" t="s">
        <v>325</v>
      </c>
      <c r="C82" s="8" t="s">
        <v>82</v>
      </c>
      <c r="D82" s="9">
        <v>24445</v>
      </c>
      <c r="E82" s="8" t="s">
        <v>58</v>
      </c>
      <c r="F82" s="8" t="s">
        <v>67</v>
      </c>
      <c r="G82" s="10">
        <v>67802406363.85</v>
      </c>
      <c r="H82" s="10">
        <v>62</v>
      </c>
      <c r="I82" s="9">
        <v>1905968005</v>
      </c>
      <c r="J82" s="9">
        <v>2706664302</v>
      </c>
      <c r="K82" s="11">
        <v>87.636</v>
      </c>
      <c r="L82" s="12">
        <v>40449</v>
      </c>
      <c r="M82" s="12">
        <v>37721</v>
      </c>
      <c r="N82" s="9">
        <f t="shared" si="7"/>
        <v>2728</v>
      </c>
      <c r="O82" s="13">
        <v>17.9</v>
      </c>
      <c r="P82" s="13">
        <v>17.22</v>
      </c>
      <c r="Q82" s="13">
        <v>2.87</v>
      </c>
      <c r="R82" s="8" t="s">
        <v>326</v>
      </c>
      <c r="S82" s="13">
        <v>169860</v>
      </c>
      <c r="T82" s="13">
        <v>0.41</v>
      </c>
      <c r="U82" s="13">
        <v>57.1597</v>
      </c>
      <c r="V82" s="13">
        <f t="shared" si="8"/>
        <v>0.00717288579191283</v>
      </c>
      <c r="W82" s="13">
        <v>1.6</v>
      </c>
      <c r="X82" s="13">
        <f t="shared" si="9"/>
        <v>0.25625</v>
      </c>
      <c r="Y82" s="13">
        <v>0.163331</v>
      </c>
      <c r="Z82" s="13">
        <v>0.11734</v>
      </c>
      <c r="AA82" s="13">
        <v>0.698</v>
      </c>
      <c r="AB82" s="13">
        <v>2.0226</v>
      </c>
      <c r="AC82" s="13">
        <v>0.1944</v>
      </c>
      <c r="AD82" s="13">
        <v>0.3785</v>
      </c>
      <c r="AE82" s="13">
        <v>0.217654</v>
      </c>
      <c r="AF82" s="13">
        <v>0.36</v>
      </c>
      <c r="AG82" s="13">
        <v>62.8132666340494</v>
      </c>
      <c r="AH82" s="13">
        <f t="shared" si="10"/>
        <v>0.00573127333270793</v>
      </c>
      <c r="AI82" s="13">
        <v>1.64</v>
      </c>
      <c r="AJ82" s="13">
        <f t="shared" si="11"/>
        <v>0.219512195121951</v>
      </c>
      <c r="AK82" s="13">
        <v>0.242009</v>
      </c>
      <c r="AL82" s="13">
        <v>0.187954</v>
      </c>
      <c r="AM82" s="13">
        <v>0.6918</v>
      </c>
      <c r="AN82" s="13">
        <v>1.8632</v>
      </c>
      <c r="AO82" s="13">
        <v>0.139116264126408</v>
      </c>
      <c r="AP82" s="13">
        <v>0.703382290719855</v>
      </c>
      <c r="AQ82" s="13">
        <v>0.282282</v>
      </c>
      <c r="AR82" s="13">
        <v>0.45</v>
      </c>
      <c r="AS82" s="13">
        <v>65.6942609606811</v>
      </c>
      <c r="AT82" s="13">
        <f t="shared" si="12"/>
        <v>0.00684991342347745</v>
      </c>
      <c r="AU82" s="13">
        <v>1.78</v>
      </c>
      <c r="AV82" s="13">
        <f t="shared" si="13"/>
        <v>0.252808988764045</v>
      </c>
      <c r="AW82" s="13">
        <v>0.21409</v>
      </c>
      <c r="AX82" s="13">
        <v>0.156988</v>
      </c>
      <c r="AY82" s="13">
        <v>0.69</v>
      </c>
      <c r="AZ82" s="13">
        <v>1.9904</v>
      </c>
      <c r="BA82" s="13">
        <v>0.110779886967818</v>
      </c>
      <c r="BB82" s="13">
        <v>0.659422442263754</v>
      </c>
      <c r="BC82" s="13">
        <v>0.322128</v>
      </c>
    </row>
    <row r="83" spans="1:55">
      <c r="A83" s="8" t="s">
        <v>327</v>
      </c>
      <c r="B83" s="8" t="s">
        <v>328</v>
      </c>
      <c r="C83" s="8" t="s">
        <v>82</v>
      </c>
      <c r="D83" s="9">
        <v>625</v>
      </c>
      <c r="E83" s="8" t="s">
        <v>132</v>
      </c>
      <c r="F83" s="8" t="s">
        <v>329</v>
      </c>
      <c r="G83" s="10">
        <v>12307687609.85</v>
      </c>
      <c r="H83" s="10">
        <v>1</v>
      </c>
      <c r="I83" s="9">
        <v>1369891580</v>
      </c>
      <c r="J83" s="9">
        <v>2933588432</v>
      </c>
      <c r="K83" s="11">
        <v>94.6065</v>
      </c>
      <c r="L83" s="12">
        <v>40758</v>
      </c>
      <c r="M83" s="12">
        <v>36640</v>
      </c>
      <c r="N83" s="9">
        <f t="shared" si="7"/>
        <v>4118</v>
      </c>
      <c r="O83" s="13">
        <v>37.4</v>
      </c>
      <c r="P83" s="13">
        <v>6</v>
      </c>
      <c r="Q83" s="13">
        <v>4.2</v>
      </c>
      <c r="R83" s="8" t="s">
        <v>330</v>
      </c>
      <c r="S83" s="13">
        <v>205220</v>
      </c>
      <c r="T83" s="13">
        <v>0.2</v>
      </c>
      <c r="U83" s="13">
        <v>8.732</v>
      </c>
      <c r="V83" s="13">
        <f t="shared" si="8"/>
        <v>0.0229042601923958</v>
      </c>
      <c r="W83" s="13">
        <v>0.1</v>
      </c>
      <c r="X83" s="13">
        <f t="shared" si="9"/>
        <v>2</v>
      </c>
      <c r="Y83" s="13">
        <v>0.033478</v>
      </c>
      <c r="Z83" s="13">
        <v>0.183735</v>
      </c>
      <c r="AA83" s="13">
        <v>0.1613</v>
      </c>
      <c r="AB83" s="13">
        <v>1.1271</v>
      </c>
      <c r="AC83" s="13">
        <v>0.2137</v>
      </c>
      <c r="AD83" s="13">
        <v>3.366</v>
      </c>
      <c r="AE83" s="13">
        <v>0.025828</v>
      </c>
      <c r="AF83" s="13">
        <v>0.05</v>
      </c>
      <c r="AG83" s="13">
        <v>8.58240567902533</v>
      </c>
      <c r="AH83" s="13">
        <f t="shared" si="10"/>
        <v>0.00582587235676772</v>
      </c>
      <c r="AI83" s="13">
        <v>-0.24</v>
      </c>
      <c r="AJ83" s="13">
        <f t="shared" si="11"/>
        <v>-0.208333333333333</v>
      </c>
      <c r="AK83" s="13">
        <v>-0.080043</v>
      </c>
      <c r="AL83" s="13">
        <v>-0.958727</v>
      </c>
      <c r="AM83" s="13">
        <v>0.0772</v>
      </c>
      <c r="AN83" s="13">
        <v>1.0974</v>
      </c>
      <c r="AO83" s="13">
        <v>-0.00987737276553992</v>
      </c>
      <c r="AP83" s="13">
        <v>3.16437372721764</v>
      </c>
      <c r="AQ83" s="13">
        <v>-0.353497</v>
      </c>
      <c r="AR83" s="13">
        <v>0.07</v>
      </c>
      <c r="AS83" s="13">
        <v>9.07220679694588</v>
      </c>
      <c r="AT83" s="13">
        <f t="shared" si="12"/>
        <v>0.00771587349877928</v>
      </c>
      <c r="AU83" s="13">
        <v>0.14</v>
      </c>
      <c r="AV83" s="13">
        <f t="shared" si="13"/>
        <v>0.5</v>
      </c>
      <c r="AW83" s="13">
        <v>0.049338</v>
      </c>
      <c r="AX83" s="13">
        <v>0.271251</v>
      </c>
      <c r="AY83" s="13">
        <v>0.1627</v>
      </c>
      <c r="AZ83" s="13">
        <v>1.1218</v>
      </c>
      <c r="BA83" s="13">
        <v>0.415425822193233</v>
      </c>
      <c r="BB83" s="13">
        <v>2.49334556900316</v>
      </c>
      <c r="BC83" s="13">
        <v>1.047439</v>
      </c>
    </row>
    <row r="84" spans="1:55">
      <c r="A84" s="8" t="s">
        <v>331</v>
      </c>
      <c r="B84" s="8" t="s">
        <v>332</v>
      </c>
      <c r="C84" s="8" t="s">
        <v>82</v>
      </c>
      <c r="D84" s="9">
        <v>17305</v>
      </c>
      <c r="E84" s="8" t="s">
        <v>108</v>
      </c>
      <c r="F84" s="8" t="s">
        <v>67</v>
      </c>
      <c r="G84" s="10">
        <v>120674781439.72</v>
      </c>
      <c r="H84" s="10">
        <v>3</v>
      </c>
      <c r="I84" s="9">
        <v>1431856649</v>
      </c>
      <c r="J84" s="9">
        <v>2073211424</v>
      </c>
      <c r="K84" s="11">
        <v>76.6786</v>
      </c>
      <c r="L84" s="12">
        <v>40849</v>
      </c>
      <c r="M84" s="12">
        <v>39274</v>
      </c>
      <c r="N84" s="9">
        <f t="shared" si="7"/>
        <v>1575</v>
      </c>
      <c r="O84" s="13">
        <v>30.46</v>
      </c>
      <c r="P84" s="13">
        <v>7.34</v>
      </c>
      <c r="Q84" s="13">
        <v>1.5</v>
      </c>
      <c r="R84" s="8" t="s">
        <v>333</v>
      </c>
      <c r="S84" s="13">
        <v>235549</v>
      </c>
      <c r="T84" s="13">
        <v>1.08</v>
      </c>
      <c r="U84" s="13">
        <v>85.4925</v>
      </c>
      <c r="V84" s="13">
        <f t="shared" si="8"/>
        <v>0.0126326870778138</v>
      </c>
      <c r="W84" s="13">
        <v>5.32</v>
      </c>
      <c r="X84" s="13">
        <f t="shared" si="9"/>
        <v>0.203007518796992</v>
      </c>
      <c r="Y84" s="13">
        <v>0.341626</v>
      </c>
      <c r="Z84" s="13">
        <v>0.144678</v>
      </c>
      <c r="AA84" s="13">
        <v>0.7866</v>
      </c>
      <c r="AB84" s="13">
        <v>3.0638</v>
      </c>
      <c r="AC84" s="13">
        <v>0.155</v>
      </c>
      <c r="AD84" s="13">
        <v>0.511</v>
      </c>
      <c r="AE84" s="13">
        <v>0.077595</v>
      </c>
      <c r="AF84" s="13">
        <v>0.22</v>
      </c>
      <c r="AG84" s="13">
        <v>106.798452321989</v>
      </c>
      <c r="AH84" s="13">
        <f t="shared" si="10"/>
        <v>0.00205995494519637</v>
      </c>
      <c r="AI84" s="13">
        <v>2.42</v>
      </c>
      <c r="AJ84" s="13">
        <f t="shared" si="11"/>
        <v>0.0909090909090909</v>
      </c>
      <c r="AK84" s="13">
        <v>0.209398</v>
      </c>
      <c r="AL84" s="13">
        <v>0.091796</v>
      </c>
      <c r="AM84" s="13">
        <v>0.7707</v>
      </c>
      <c r="AN84" s="13">
        <v>3.0438</v>
      </c>
      <c r="AO84" s="13">
        <v>0.0300690884742262</v>
      </c>
      <c r="AP84" s="13">
        <v>0.401593603331737</v>
      </c>
      <c r="AQ84" s="13">
        <v>0.667892</v>
      </c>
      <c r="AR84" s="13">
        <v>0.965</v>
      </c>
      <c r="AS84" s="13">
        <v>103.663577180436</v>
      </c>
      <c r="AT84" s="13">
        <f t="shared" si="12"/>
        <v>0.00930895909872306</v>
      </c>
      <c r="AU84" s="13">
        <v>6.36</v>
      </c>
      <c r="AV84" s="13">
        <f t="shared" si="13"/>
        <v>0.151729559748428</v>
      </c>
      <c r="AW84" s="13">
        <v>0.407128</v>
      </c>
      <c r="AX84" s="13">
        <v>0.132992</v>
      </c>
      <c r="AY84" s="13">
        <v>1</v>
      </c>
      <c r="AZ84" s="13">
        <v>3.1162</v>
      </c>
      <c r="BA84" s="13">
        <v>0.0966335467887351</v>
      </c>
      <c r="BB84" s="13">
        <v>0.452715544610333</v>
      </c>
      <c r="BC84" s="13">
        <v>0.794725</v>
      </c>
    </row>
    <row r="85" spans="1:55">
      <c r="A85" s="8" t="s">
        <v>334</v>
      </c>
      <c r="B85" s="8" t="s">
        <v>335</v>
      </c>
      <c r="C85" s="8" t="s">
        <v>82</v>
      </c>
      <c r="D85" s="9">
        <v>8542</v>
      </c>
      <c r="E85" s="8" t="s">
        <v>90</v>
      </c>
      <c r="F85" s="8" t="s">
        <v>67</v>
      </c>
      <c r="G85" s="10">
        <v>39726194819.53</v>
      </c>
      <c r="H85" s="10">
        <v>8</v>
      </c>
      <c r="I85" s="9">
        <v>827041236</v>
      </c>
      <c r="J85" s="9">
        <v>1111118334</v>
      </c>
      <c r="K85" s="11">
        <v>99.4944</v>
      </c>
      <c r="L85" s="12">
        <v>41009</v>
      </c>
      <c r="M85" s="12">
        <v>38530</v>
      </c>
      <c r="N85" s="9">
        <f t="shared" si="7"/>
        <v>2479</v>
      </c>
      <c r="O85" s="13">
        <v>11.42</v>
      </c>
      <c r="P85" s="13">
        <v>6.28</v>
      </c>
      <c r="Q85" s="13">
        <v>5.33</v>
      </c>
      <c r="R85" s="8" t="s">
        <v>336</v>
      </c>
      <c r="S85" s="13">
        <v>132336</v>
      </c>
      <c r="T85" s="13">
        <v>0.5</v>
      </c>
      <c r="U85" s="13">
        <v>141.5103</v>
      </c>
      <c r="V85" s="13">
        <f t="shared" si="8"/>
        <v>0.00353331170946567</v>
      </c>
      <c r="W85" s="13">
        <v>4.72</v>
      </c>
      <c r="X85" s="13">
        <f t="shared" si="9"/>
        <v>0.105932203389831</v>
      </c>
      <c r="Y85" s="13">
        <v>0.309717</v>
      </c>
      <c r="Z85" s="13">
        <v>0.225117</v>
      </c>
      <c r="AA85" s="13">
        <v>0.9765</v>
      </c>
      <c r="AB85" s="13">
        <v>1.4635</v>
      </c>
      <c r="AC85" s="13">
        <v>0.1326</v>
      </c>
      <c r="AD85" s="13">
        <v>0.8686</v>
      </c>
      <c r="AE85" s="13">
        <v>1.226366</v>
      </c>
      <c r="AF85" s="13">
        <v>0.2</v>
      </c>
      <c r="AG85" s="13">
        <v>31.6582203299257</v>
      </c>
      <c r="AH85" s="13">
        <f t="shared" si="10"/>
        <v>0.00631747451106546</v>
      </c>
      <c r="AI85" s="13">
        <v>1.54</v>
      </c>
      <c r="AJ85" s="13">
        <f t="shared" si="11"/>
        <v>0.12987012987013</v>
      </c>
      <c r="AK85" s="13">
        <v>0.104462</v>
      </c>
      <c r="AL85" s="13">
        <v>0.127952</v>
      </c>
      <c r="AM85" s="13">
        <v>0.5822</v>
      </c>
      <c r="AN85" s="13">
        <v>1.4134</v>
      </c>
      <c r="AO85" s="13">
        <v>0.253992221644814</v>
      </c>
      <c r="AP85" s="13">
        <v>1.19654588722392</v>
      </c>
      <c r="AQ85" s="13">
        <v>0.252929</v>
      </c>
      <c r="AR85" s="13">
        <v>0.45</v>
      </c>
      <c r="AS85" s="13">
        <v>95.332346858461</v>
      </c>
      <c r="AT85" s="13">
        <f t="shared" si="12"/>
        <v>0.00472032856453341</v>
      </c>
      <c r="AU85" s="13">
        <v>2.8</v>
      </c>
      <c r="AV85" s="13">
        <f t="shared" si="13"/>
        <v>0.160714285714286</v>
      </c>
      <c r="AW85" s="13">
        <v>0.165879</v>
      </c>
      <c r="AX85" s="13">
        <v>0.205976</v>
      </c>
      <c r="AY85" s="13">
        <v>0.5863</v>
      </c>
      <c r="AZ85" s="13">
        <v>1.3952</v>
      </c>
      <c r="BA85" s="13">
        <v>0.177004074211696</v>
      </c>
      <c r="BB85" s="13">
        <v>0.930341511056242</v>
      </c>
      <c r="BC85" s="13">
        <v>0.111617</v>
      </c>
    </row>
    <row r="86" spans="1:55">
      <c r="A86" s="8" t="s">
        <v>337</v>
      </c>
      <c r="B86" s="8" t="s">
        <v>338</v>
      </c>
      <c r="C86" s="8" t="s">
        <v>82</v>
      </c>
      <c r="D86" s="9">
        <v>6111</v>
      </c>
      <c r="E86" s="8" t="s">
        <v>165</v>
      </c>
      <c r="F86" s="8" t="s">
        <v>67</v>
      </c>
      <c r="G86" s="10">
        <v>28339280268.67</v>
      </c>
      <c r="H86" s="10">
        <v>8</v>
      </c>
      <c r="I86" s="9">
        <v>592479989</v>
      </c>
      <c r="J86" s="9">
        <v>1309533797</v>
      </c>
      <c r="K86" s="11">
        <v>94.0453</v>
      </c>
      <c r="L86" s="12">
        <v>41040</v>
      </c>
      <c r="M86" s="12">
        <v>39065</v>
      </c>
      <c r="N86" s="9">
        <f t="shared" si="7"/>
        <v>1975</v>
      </c>
      <c r="O86" s="13">
        <v>47.39</v>
      </c>
      <c r="P86" s="13">
        <v>3.24</v>
      </c>
      <c r="Q86" s="13">
        <v>2.91</v>
      </c>
      <c r="R86" s="8" t="s">
        <v>339</v>
      </c>
      <c r="S86" s="13">
        <v>86794</v>
      </c>
      <c r="T86" s="13">
        <v>0.4</v>
      </c>
      <c r="U86" s="13">
        <v>33.5679</v>
      </c>
      <c r="V86" s="13">
        <f t="shared" si="8"/>
        <v>0.0119161460800348</v>
      </c>
      <c r="W86" s="13">
        <v>1.92</v>
      </c>
      <c r="X86" s="13">
        <f t="shared" si="9"/>
        <v>0.208333333333333</v>
      </c>
      <c r="Y86" s="13">
        <v>0.158922</v>
      </c>
      <c r="Z86" s="13">
        <v>0.151593</v>
      </c>
      <c r="AA86" s="13">
        <v>0.5142</v>
      </c>
      <c r="AB86" s="13">
        <v>2.1643</v>
      </c>
      <c r="AC86" s="13">
        <v>0.1009</v>
      </c>
      <c r="AD86" s="13">
        <v>0.2858</v>
      </c>
      <c r="AE86" s="13">
        <v>-0.022609</v>
      </c>
      <c r="AF86" s="13">
        <v>0.45</v>
      </c>
      <c r="AG86" s="13">
        <v>65.5390481873465</v>
      </c>
      <c r="AH86" s="13">
        <f t="shared" si="10"/>
        <v>0.0068661357228389</v>
      </c>
      <c r="AI86" s="13">
        <v>2.26</v>
      </c>
      <c r="AJ86" s="13">
        <f t="shared" si="11"/>
        <v>0.199115044247788</v>
      </c>
      <c r="AK86" s="13">
        <v>0.332074</v>
      </c>
      <c r="AL86" s="13">
        <v>0.289312</v>
      </c>
      <c r="AM86" s="13">
        <v>0.4649</v>
      </c>
      <c r="AN86" s="13">
        <v>2.5994</v>
      </c>
      <c r="AO86" s="13">
        <v>0.123469810197751</v>
      </c>
      <c r="AP86" s="13">
        <v>0.202241456018788</v>
      </c>
      <c r="AQ86" s="13">
        <v>0.784544</v>
      </c>
      <c r="AR86" s="13">
        <v>0.7</v>
      </c>
      <c r="AS86" s="13">
        <v>57.4052118661834</v>
      </c>
      <c r="AT86" s="13">
        <f t="shared" si="12"/>
        <v>0.0121940147461133</v>
      </c>
      <c r="AU86" s="13">
        <v>3.49</v>
      </c>
      <c r="AV86" s="13">
        <f t="shared" si="13"/>
        <v>0.200573065902579</v>
      </c>
      <c r="AW86" s="13">
        <v>0.354168</v>
      </c>
      <c r="AX86" s="13">
        <v>0.295443</v>
      </c>
      <c r="AY86" s="13">
        <v>0.5475</v>
      </c>
      <c r="AZ86" s="13">
        <v>2.5526</v>
      </c>
      <c r="BA86" s="13">
        <v>0.17170446353024</v>
      </c>
      <c r="BB86" s="13">
        <v>0.204261549521142</v>
      </c>
      <c r="BC86" s="13">
        <v>0.690417</v>
      </c>
    </row>
    <row r="87" spans="1:55">
      <c r="A87" s="8" t="s">
        <v>340</v>
      </c>
      <c r="B87" s="8" t="s">
        <v>341</v>
      </c>
      <c r="C87" s="8" t="s">
        <v>82</v>
      </c>
      <c r="D87" s="9">
        <v>10251</v>
      </c>
      <c r="E87" s="8" t="s">
        <v>165</v>
      </c>
      <c r="F87" s="8" t="s">
        <v>342</v>
      </c>
      <c r="G87" s="10">
        <v>28784251786.89</v>
      </c>
      <c r="H87" s="10">
        <v>1</v>
      </c>
      <c r="I87" s="9">
        <v>509336477</v>
      </c>
      <c r="J87" s="9">
        <v>861026050</v>
      </c>
      <c r="K87" s="11">
        <v>65.7604</v>
      </c>
      <c r="L87" s="12">
        <v>41138</v>
      </c>
      <c r="M87" s="12">
        <v>38336</v>
      </c>
      <c r="N87" s="9">
        <f t="shared" si="7"/>
        <v>2802</v>
      </c>
      <c r="O87" s="13">
        <v>20.58</v>
      </c>
      <c r="P87" s="13">
        <v>14.3</v>
      </c>
      <c r="Q87" s="13">
        <v>5.96</v>
      </c>
      <c r="R87" s="8" t="s">
        <v>343</v>
      </c>
      <c r="S87" s="13">
        <v>48448</v>
      </c>
      <c r="T87" s="13">
        <v>0.3</v>
      </c>
      <c r="U87" s="13">
        <v>54.5458</v>
      </c>
      <c r="V87" s="13">
        <f t="shared" si="8"/>
        <v>0.00549996516688728</v>
      </c>
      <c r="W87" s="13">
        <v>0.47</v>
      </c>
      <c r="X87" s="13">
        <f t="shared" si="9"/>
        <v>0.638297872340426</v>
      </c>
      <c r="Y87" s="13">
        <v>0.019433</v>
      </c>
      <c r="Z87" s="13">
        <v>0.067821</v>
      </c>
      <c r="AA87" s="13">
        <v>0.2263</v>
      </c>
      <c r="AB87" s="13">
        <v>1.3994</v>
      </c>
      <c r="AC87" s="13">
        <v>0.1661</v>
      </c>
      <c r="AD87" s="13">
        <v>0.5834</v>
      </c>
      <c r="AE87" s="13">
        <v>-0.105758</v>
      </c>
      <c r="AF87" s="13">
        <v>0.55</v>
      </c>
      <c r="AG87" s="13">
        <v>97.9199390449715</v>
      </c>
      <c r="AH87" s="13">
        <f t="shared" si="10"/>
        <v>0.00561683356182853</v>
      </c>
      <c r="AI87" s="13">
        <v>2.32</v>
      </c>
      <c r="AJ87" s="13">
        <f t="shared" si="11"/>
        <v>0.237068965517241</v>
      </c>
      <c r="AK87" s="13">
        <v>0.10643</v>
      </c>
      <c r="AL87" s="13">
        <v>0.320617</v>
      </c>
      <c r="AM87" s="13">
        <v>0.2768</v>
      </c>
      <c r="AN87" s="13">
        <v>1.3575</v>
      </c>
      <c r="AO87" s="13">
        <v>0.191589352716213</v>
      </c>
      <c r="AP87" s="13">
        <v>2.11529030731334</v>
      </c>
      <c r="AQ87" s="13">
        <v>0.359052</v>
      </c>
      <c r="AR87" s="13">
        <v>0.568</v>
      </c>
      <c r="AS87" s="13">
        <v>76.6127522587047</v>
      </c>
      <c r="AT87" s="13">
        <f t="shared" si="12"/>
        <v>0.00741390934608362</v>
      </c>
      <c r="AU87" s="13">
        <v>2.34</v>
      </c>
      <c r="AV87" s="13">
        <f t="shared" si="13"/>
        <v>0.242735042735043</v>
      </c>
      <c r="AW87" s="13">
        <v>0.099722</v>
      </c>
      <c r="AX87" s="13">
        <v>0.291159</v>
      </c>
      <c r="AY87" s="13">
        <v>0.2585</v>
      </c>
      <c r="AZ87" s="13">
        <v>1.4067</v>
      </c>
      <c r="BA87" s="13">
        <v>0.155800622158768</v>
      </c>
      <c r="BB87" s="13">
        <v>1.8030490884625</v>
      </c>
      <c r="BC87" s="13">
        <v>0.042138</v>
      </c>
    </row>
    <row r="88" spans="1:55">
      <c r="A88" s="8" t="s">
        <v>344</v>
      </c>
      <c r="B88" s="8" t="s">
        <v>345</v>
      </c>
      <c r="C88" s="8" t="s">
        <v>82</v>
      </c>
      <c r="D88" s="9">
        <v>3619</v>
      </c>
      <c r="E88" s="8" t="s">
        <v>83</v>
      </c>
      <c r="F88" s="8" t="s">
        <v>67</v>
      </c>
      <c r="G88" s="10">
        <v>5846616056.67</v>
      </c>
      <c r="H88" s="10">
        <v>7</v>
      </c>
      <c r="I88" s="9">
        <v>429540700</v>
      </c>
      <c r="J88" s="9">
        <v>777415891</v>
      </c>
      <c r="K88" s="11">
        <v>99.7989</v>
      </c>
      <c r="L88" s="12">
        <v>42052</v>
      </c>
      <c r="M88" s="12">
        <v>38553</v>
      </c>
      <c r="N88" s="9">
        <f t="shared" si="7"/>
        <v>3499</v>
      </c>
      <c r="O88" s="13">
        <v>37.56</v>
      </c>
      <c r="P88" s="13">
        <v>6.99</v>
      </c>
      <c r="Q88" s="13"/>
      <c r="R88" s="8"/>
      <c r="S88" s="13">
        <v>102831</v>
      </c>
      <c r="T88" s="13">
        <v>0.5</v>
      </c>
      <c r="U88" s="13">
        <v>111.3016</v>
      </c>
      <c r="V88" s="13">
        <f t="shared" si="8"/>
        <v>0.00449229840361684</v>
      </c>
      <c r="W88" s="13">
        <v>2.4257</v>
      </c>
      <c r="X88" s="13">
        <f t="shared" si="9"/>
        <v>0.206126066702395</v>
      </c>
      <c r="Y88" s="13">
        <v>0.374653</v>
      </c>
      <c r="Z88" s="13">
        <v>0.412972</v>
      </c>
      <c r="AA88" s="13">
        <v>0.7532</v>
      </c>
      <c r="AB88" s="13">
        <v>1.204</v>
      </c>
      <c r="AC88" s="13">
        <v>0.3883</v>
      </c>
      <c r="AD88" s="13">
        <v>3.21</v>
      </c>
      <c r="AE88" s="13">
        <v>0.677351</v>
      </c>
      <c r="AF88" s="13">
        <v>0.5</v>
      </c>
      <c r="AG88" s="13">
        <v>29.1298862310673</v>
      </c>
      <c r="AH88" s="13">
        <f t="shared" si="10"/>
        <v>0.0171645023270549</v>
      </c>
      <c r="AI88" s="13">
        <v>1.0288</v>
      </c>
      <c r="AJ88" s="13">
        <f t="shared" si="11"/>
        <v>0.486003110419907</v>
      </c>
      <c r="AK88" s="13">
        <v>0.162512</v>
      </c>
      <c r="AL88" s="13">
        <v>0.338464</v>
      </c>
      <c r="AM88" s="13">
        <v>0.4389</v>
      </c>
      <c r="AN88" s="13">
        <v>1.0994</v>
      </c>
      <c r="AO88" s="13">
        <v>0.387549883081616</v>
      </c>
      <c r="AP88" s="13">
        <v>6.7467500313238</v>
      </c>
      <c r="AQ88" s="13">
        <v>0.158853</v>
      </c>
      <c r="AR88" s="13">
        <v>1</v>
      </c>
      <c r="AS88" s="13">
        <v>73.3726595358676</v>
      </c>
      <c r="AT88" s="13">
        <f t="shared" si="12"/>
        <v>0.013629054832218</v>
      </c>
      <c r="AU88" s="13">
        <v>1.8482</v>
      </c>
      <c r="AV88" s="13">
        <f t="shared" si="13"/>
        <v>0.541066984092631</v>
      </c>
      <c r="AW88" s="13">
        <v>0.250889</v>
      </c>
      <c r="AX88" s="13">
        <v>0.376498</v>
      </c>
      <c r="AY88" s="13">
        <v>0.5702</v>
      </c>
      <c r="AZ88" s="13">
        <v>1.1686</v>
      </c>
      <c r="BA88" s="13">
        <v>0.465215319952104</v>
      </c>
      <c r="BB88" s="13">
        <v>4.57266179344516</v>
      </c>
      <c r="BC88" s="13">
        <v>0.62037</v>
      </c>
    </row>
    <row r="89" spans="1:55">
      <c r="A89" s="8" t="s">
        <v>346</v>
      </c>
      <c r="B89" s="8" t="s">
        <v>347</v>
      </c>
      <c r="C89" s="8" t="s">
        <v>82</v>
      </c>
      <c r="D89" s="9">
        <v>15515</v>
      </c>
      <c r="E89" s="8" t="s">
        <v>58</v>
      </c>
      <c r="F89" s="8" t="s">
        <v>67</v>
      </c>
      <c r="G89" s="10">
        <v>25380830148.43</v>
      </c>
      <c r="H89" s="10">
        <v>0</v>
      </c>
      <c r="I89" s="9">
        <v>1211052161</v>
      </c>
      <c r="J89" s="9">
        <v>1916497371</v>
      </c>
      <c r="K89" s="11">
        <v>97.5638</v>
      </c>
      <c r="L89" s="12">
        <v>41976</v>
      </c>
      <c r="M89" s="12">
        <v>33948</v>
      </c>
      <c r="N89" s="9">
        <f t="shared" si="7"/>
        <v>8028</v>
      </c>
      <c r="O89" s="13">
        <v>33.67</v>
      </c>
      <c r="P89" s="13">
        <v>4.21</v>
      </c>
      <c r="Q89" s="13">
        <v>2.8</v>
      </c>
      <c r="R89" s="8" t="s">
        <v>348</v>
      </c>
      <c r="S89" s="13">
        <v>30208</v>
      </c>
      <c r="T89" s="13">
        <v>0.38</v>
      </c>
      <c r="U89" s="13">
        <v>31.2839</v>
      </c>
      <c r="V89" s="13">
        <f t="shared" si="8"/>
        <v>0.0121468231262726</v>
      </c>
      <c r="W89" s="13">
        <v>1.14</v>
      </c>
      <c r="X89" s="13">
        <f t="shared" si="9"/>
        <v>0.333333333333333</v>
      </c>
      <c r="Y89" s="13">
        <v>0.114986</v>
      </c>
      <c r="Z89" s="13">
        <v>0.296981</v>
      </c>
      <c r="AA89" s="13">
        <v>0.3225</v>
      </c>
      <c r="AB89" s="13">
        <v>1.2006</v>
      </c>
      <c r="AC89" s="13">
        <v>0.3258</v>
      </c>
      <c r="AD89" s="13">
        <v>3.376</v>
      </c>
      <c r="AE89" s="13">
        <v>0.287828</v>
      </c>
      <c r="AF89" s="13">
        <v>0.25</v>
      </c>
      <c r="AG89" s="13">
        <v>29.9363118587007</v>
      </c>
      <c r="AH89" s="13">
        <f t="shared" si="10"/>
        <v>0.00835106212081165</v>
      </c>
      <c r="AI89" s="13">
        <v>0.79</v>
      </c>
      <c r="AJ89" s="13">
        <f t="shared" si="11"/>
        <v>0.316455696202532</v>
      </c>
      <c r="AK89" s="13">
        <v>0.0904</v>
      </c>
      <c r="AL89" s="13">
        <v>0.292482</v>
      </c>
      <c r="AM89" s="13">
        <v>0.2695</v>
      </c>
      <c r="AN89" s="13">
        <v>1.1479</v>
      </c>
      <c r="AO89" s="13">
        <v>0.402741836844407</v>
      </c>
      <c r="AP89" s="13">
        <v>6.20237132309483</v>
      </c>
      <c r="AQ89" s="13">
        <v>-0.171864</v>
      </c>
      <c r="AR89" s="13">
        <v>0.28</v>
      </c>
      <c r="AS89" s="13">
        <v>31.1342264517093</v>
      </c>
      <c r="AT89" s="13">
        <f t="shared" si="12"/>
        <v>0.00899331802684398</v>
      </c>
      <c r="AU89" s="13">
        <v>0.82</v>
      </c>
      <c r="AV89" s="13">
        <f t="shared" si="13"/>
        <v>0.341463414634146</v>
      </c>
      <c r="AW89" s="13">
        <v>0.089491</v>
      </c>
      <c r="AX89" s="13">
        <v>0.276451</v>
      </c>
      <c r="AY89" s="13">
        <v>0.2765</v>
      </c>
      <c r="AZ89" s="13">
        <v>1.1723</v>
      </c>
      <c r="BA89" s="13">
        <v>0.300167880394075</v>
      </c>
      <c r="BB89" s="13">
        <v>2.97884578716056</v>
      </c>
      <c r="BC89" s="13">
        <v>0.112111</v>
      </c>
    </row>
    <row r="90" spans="1:55">
      <c r="A90" s="8" t="s">
        <v>349</v>
      </c>
      <c r="B90" s="8" t="s">
        <v>350</v>
      </c>
      <c r="C90" s="8" t="s">
        <v>89</v>
      </c>
      <c r="D90" s="9">
        <v>4512</v>
      </c>
      <c r="E90" s="8" t="s">
        <v>73</v>
      </c>
      <c r="F90" s="8" t="s">
        <v>329</v>
      </c>
      <c r="G90" s="10">
        <v>32948741859.63</v>
      </c>
      <c r="H90" s="10">
        <v>1</v>
      </c>
      <c r="I90" s="9">
        <v>596582740</v>
      </c>
      <c r="J90" s="9">
        <v>1870720815</v>
      </c>
      <c r="K90" s="11">
        <v>54.6153</v>
      </c>
      <c r="L90" s="12">
        <v>42025</v>
      </c>
      <c r="M90" s="12">
        <v>38714</v>
      </c>
      <c r="N90" s="9">
        <f t="shared" si="7"/>
        <v>3311</v>
      </c>
      <c r="O90" s="13">
        <v>56.09</v>
      </c>
      <c r="P90" s="13">
        <v>7.01</v>
      </c>
      <c r="Q90" s="13">
        <v>5.01</v>
      </c>
      <c r="R90" s="8" t="s">
        <v>351</v>
      </c>
      <c r="S90" s="13">
        <v>46098</v>
      </c>
      <c r="T90" s="13">
        <v>0.22</v>
      </c>
      <c r="U90" s="13">
        <v>24.445</v>
      </c>
      <c r="V90" s="13">
        <f t="shared" si="8"/>
        <v>0.00899979545919411</v>
      </c>
      <c r="W90" s="13">
        <v>0.73</v>
      </c>
      <c r="X90" s="13">
        <f t="shared" si="9"/>
        <v>0.301369863013699</v>
      </c>
      <c r="Y90" s="13">
        <v>0.062042</v>
      </c>
      <c r="Z90" s="13">
        <v>0.095379</v>
      </c>
      <c r="AA90" s="13">
        <v>0.4403</v>
      </c>
      <c r="AB90" s="13">
        <v>1.4541</v>
      </c>
      <c r="AC90" s="13">
        <v>-0.0018</v>
      </c>
      <c r="AD90" s="13">
        <v>0.5621</v>
      </c>
      <c r="AE90" s="13">
        <v>-0.037485</v>
      </c>
      <c r="AF90" s="13">
        <v>0.13</v>
      </c>
      <c r="AG90" s="13">
        <v>32.3880997630215</v>
      </c>
      <c r="AH90" s="13">
        <f t="shared" si="10"/>
        <v>0.00401381992000732</v>
      </c>
      <c r="AI90" s="13">
        <v>0.98</v>
      </c>
      <c r="AJ90" s="13">
        <f t="shared" si="11"/>
        <v>0.13265306122449</v>
      </c>
      <c r="AK90" s="13">
        <v>0.101902</v>
      </c>
      <c r="AL90" s="13">
        <v>0.128876</v>
      </c>
      <c r="AM90" s="13">
        <v>0.4969</v>
      </c>
      <c r="AN90" s="13">
        <v>1.5401</v>
      </c>
      <c r="AO90" s="13">
        <v>0.0402534459573036</v>
      </c>
      <c r="AP90" s="13">
        <v>1.3723837740562</v>
      </c>
      <c r="AQ90" s="13">
        <v>-0.10755</v>
      </c>
      <c r="AR90" s="13">
        <v>0.18</v>
      </c>
      <c r="AS90" s="13">
        <v>32.4546158728618</v>
      </c>
      <c r="AT90" s="13">
        <f t="shared" si="12"/>
        <v>0.00554620645350217</v>
      </c>
      <c r="AU90" s="13">
        <v>1.9</v>
      </c>
      <c r="AV90" s="13">
        <f t="shared" si="13"/>
        <v>0.0947368421052632</v>
      </c>
      <c r="AW90" s="13">
        <v>0.176273</v>
      </c>
      <c r="AX90" s="13">
        <v>0.237307</v>
      </c>
      <c r="AY90" s="13">
        <v>0.4838</v>
      </c>
      <c r="AZ90" s="13">
        <v>1.4989</v>
      </c>
      <c r="BA90" s="13">
        <v>0.0740888740036253</v>
      </c>
      <c r="BB90" s="13">
        <v>1.31526315103641</v>
      </c>
      <c r="BC90" s="13">
        <v>0.046595</v>
      </c>
    </row>
    <row r="91" spans="1:55">
      <c r="A91" s="8" t="s">
        <v>352</v>
      </c>
      <c r="B91" s="8" t="s">
        <v>353</v>
      </c>
      <c r="C91" s="8" t="s">
        <v>82</v>
      </c>
      <c r="D91" s="9">
        <v>2117</v>
      </c>
      <c r="E91" s="8" t="s">
        <v>132</v>
      </c>
      <c r="F91" s="8" t="s">
        <v>222</v>
      </c>
      <c r="G91" s="10">
        <v>20641150638.76</v>
      </c>
      <c r="H91" s="10">
        <v>3</v>
      </c>
      <c r="I91" s="9">
        <v>823278300</v>
      </c>
      <c r="J91" s="9">
        <v>1255356953</v>
      </c>
      <c r="K91" s="11">
        <v>99.931</v>
      </c>
      <c r="L91" s="12">
        <v>42025</v>
      </c>
      <c r="M91" s="12">
        <v>39534</v>
      </c>
      <c r="N91" s="9">
        <f t="shared" si="7"/>
        <v>2491</v>
      </c>
      <c r="O91" s="13">
        <v>15.11</v>
      </c>
      <c r="P91" s="13">
        <v>11.56</v>
      </c>
      <c r="Q91" s="13">
        <v>7.67</v>
      </c>
      <c r="R91" s="8" t="s">
        <v>354</v>
      </c>
      <c r="S91" s="13">
        <v>162814</v>
      </c>
      <c r="T91" s="13"/>
      <c r="U91" s="13">
        <v>38.4291</v>
      </c>
      <c r="V91" s="13">
        <f t="shared" si="8"/>
        <v>0</v>
      </c>
      <c r="W91" s="13">
        <v>-1.3</v>
      </c>
      <c r="X91" s="13">
        <f t="shared" si="9"/>
        <v>0</v>
      </c>
      <c r="Y91" s="13">
        <v>-0.108331</v>
      </c>
      <c r="Z91" s="13">
        <v>-0.343848</v>
      </c>
      <c r="AA91" s="13">
        <v>0.2686</v>
      </c>
      <c r="AB91" s="13">
        <v>1.432</v>
      </c>
      <c r="AC91" s="13">
        <v>0.0511</v>
      </c>
      <c r="AD91" s="13">
        <v>1.2443</v>
      </c>
      <c r="AE91" s="13">
        <v>0.152026</v>
      </c>
      <c r="AF91" s="13"/>
      <c r="AG91" s="13">
        <v>17.1351211001491</v>
      </c>
      <c r="AH91" s="13">
        <f t="shared" si="10"/>
        <v>0</v>
      </c>
      <c r="AI91" s="13">
        <v>0.97</v>
      </c>
      <c r="AJ91" s="13">
        <f t="shared" si="11"/>
        <v>0</v>
      </c>
      <c r="AK91" s="13">
        <v>0.099877</v>
      </c>
      <c r="AL91" s="13">
        <v>0.26046</v>
      </c>
      <c r="AM91" s="13">
        <v>0.2671</v>
      </c>
      <c r="AN91" s="13">
        <v>1.5365</v>
      </c>
      <c r="AO91" s="13">
        <v>0.175413513753931</v>
      </c>
      <c r="AP91" s="13">
        <v>0.9059289567899</v>
      </c>
      <c r="AQ91" s="13">
        <v>-0.023485</v>
      </c>
      <c r="AR91" s="13">
        <v>0.0493305</v>
      </c>
      <c r="AS91" s="13">
        <v>39.6634219211797</v>
      </c>
      <c r="AT91" s="13">
        <f t="shared" si="12"/>
        <v>0.00124372778773428</v>
      </c>
      <c r="AU91" s="13">
        <v>1.05</v>
      </c>
      <c r="AV91" s="13">
        <f t="shared" si="13"/>
        <v>0.0469814285714286</v>
      </c>
      <c r="AW91" s="13">
        <v>0.090296</v>
      </c>
      <c r="AX91" s="13">
        <v>0.311883</v>
      </c>
      <c r="AY91" s="13">
        <v>0.2518</v>
      </c>
      <c r="AZ91" s="13">
        <v>1.4009</v>
      </c>
      <c r="BA91" s="13">
        <v>0.179978794314365</v>
      </c>
      <c r="BB91" s="13">
        <v>0.879665139806871</v>
      </c>
      <c r="BC91" s="13">
        <v>0.037758</v>
      </c>
    </row>
    <row r="92" spans="1:55">
      <c r="A92" s="8" t="s">
        <v>355</v>
      </c>
      <c r="B92" s="8" t="s">
        <v>356</v>
      </c>
      <c r="C92" s="8" t="s">
        <v>82</v>
      </c>
      <c r="D92" s="9">
        <v>136458</v>
      </c>
      <c r="E92" s="8" t="s">
        <v>73</v>
      </c>
      <c r="F92" s="8" t="s">
        <v>67</v>
      </c>
      <c r="G92" s="10">
        <v>83538535143.98</v>
      </c>
      <c r="H92" s="10">
        <v>9</v>
      </c>
      <c r="I92" s="9">
        <v>1879335611</v>
      </c>
      <c r="J92" s="9">
        <v>5284327591</v>
      </c>
      <c r="K92" s="11">
        <v>94.0871</v>
      </c>
      <c r="L92" s="12">
        <v>42081</v>
      </c>
      <c r="M92" s="12">
        <v>39072</v>
      </c>
      <c r="N92" s="9">
        <f t="shared" si="7"/>
        <v>3009</v>
      </c>
      <c r="O92" s="13">
        <v>53.07</v>
      </c>
      <c r="P92" s="13">
        <v>5.71</v>
      </c>
      <c r="Q92" s="13">
        <v>5.45</v>
      </c>
      <c r="R92" s="8" t="s">
        <v>357</v>
      </c>
      <c r="S92" s="13">
        <v>159870</v>
      </c>
      <c r="T92" s="13">
        <v>0.4</v>
      </c>
      <c r="U92" s="13">
        <v>17.4923</v>
      </c>
      <c r="V92" s="13">
        <f t="shared" si="8"/>
        <v>0.0228672044270908</v>
      </c>
      <c r="W92" s="13">
        <v>0.73</v>
      </c>
      <c r="X92" s="13">
        <f t="shared" si="9"/>
        <v>0.547945205479452</v>
      </c>
      <c r="Y92" s="13">
        <v>0.076296</v>
      </c>
      <c r="Z92" s="13">
        <v>0.052604</v>
      </c>
      <c r="AA92" s="13">
        <v>0.8821</v>
      </c>
      <c r="AB92" s="13">
        <v>1.6683</v>
      </c>
      <c r="AC92" s="13">
        <v>0.1558</v>
      </c>
      <c r="AD92" s="13">
        <v>0.4921</v>
      </c>
      <c r="AE92" s="13">
        <v>0.282728</v>
      </c>
      <c r="AF92" s="13">
        <v>0.2</v>
      </c>
      <c r="AG92" s="13">
        <v>11.8876948572906</v>
      </c>
      <c r="AH92" s="13">
        <f t="shared" si="10"/>
        <v>0.0168241195960159</v>
      </c>
      <c r="AI92" s="13">
        <v>0.5</v>
      </c>
      <c r="AJ92" s="13">
        <f t="shared" si="11"/>
        <v>0.4</v>
      </c>
      <c r="AK92" s="13">
        <v>0.056405</v>
      </c>
      <c r="AL92" s="13">
        <v>0.05396</v>
      </c>
      <c r="AM92" s="13">
        <v>0.6027</v>
      </c>
      <c r="AN92" s="13">
        <v>1.7851</v>
      </c>
      <c r="AO92" s="13">
        <v>0.196591389104804</v>
      </c>
      <c r="AP92" s="13">
        <v>0.543264969945677</v>
      </c>
      <c r="AQ92" s="13">
        <v>0.031598</v>
      </c>
      <c r="AR92" s="13">
        <v>0.3</v>
      </c>
      <c r="AS92" s="13">
        <v>12.6789299355162</v>
      </c>
      <c r="AT92" s="13">
        <f t="shared" si="12"/>
        <v>0.0236613027696951</v>
      </c>
      <c r="AU92" s="13">
        <v>0.61</v>
      </c>
      <c r="AV92" s="13">
        <f t="shared" si="13"/>
        <v>0.491803278688525</v>
      </c>
      <c r="AW92" s="13">
        <v>0.066761</v>
      </c>
      <c r="AX92" s="13">
        <v>0.055823</v>
      </c>
      <c r="AY92" s="13">
        <v>0.6994</v>
      </c>
      <c r="AZ92" s="13">
        <v>1.7215</v>
      </c>
      <c r="BA92" s="13">
        <v>0.170674874935222</v>
      </c>
      <c r="BB92" s="13">
        <v>0.570666949159624</v>
      </c>
      <c r="BC92" s="13">
        <v>0.166861</v>
      </c>
    </row>
    <row r="93" spans="1:55">
      <c r="A93" s="8" t="s">
        <v>358</v>
      </c>
      <c r="B93" s="8" t="s">
        <v>359</v>
      </c>
      <c r="C93" s="8" t="s">
        <v>82</v>
      </c>
      <c r="D93" s="9">
        <v>1429</v>
      </c>
      <c r="E93" s="8" t="s">
        <v>206</v>
      </c>
      <c r="F93" s="8" t="s">
        <v>67</v>
      </c>
      <c r="G93" s="10">
        <v>42036686187.33</v>
      </c>
      <c r="H93" s="10">
        <v>2</v>
      </c>
      <c r="I93" s="9">
        <v>661238904</v>
      </c>
      <c r="J93" s="9">
        <v>1634343573</v>
      </c>
      <c r="K93" s="11">
        <v>99.6347</v>
      </c>
      <c r="L93" s="12">
        <v>42118</v>
      </c>
      <c r="M93" s="12">
        <v>39260</v>
      </c>
      <c r="N93" s="9">
        <f t="shared" si="7"/>
        <v>2858</v>
      </c>
      <c r="O93" s="13">
        <v>59.18</v>
      </c>
      <c r="P93" s="13">
        <v>3.06</v>
      </c>
      <c r="Q93" s="13">
        <v>1.67</v>
      </c>
      <c r="R93" s="8" t="s">
        <v>360</v>
      </c>
      <c r="S93" s="13">
        <v>95334</v>
      </c>
      <c r="T93" s="13">
        <v>0.1288</v>
      </c>
      <c r="U93" s="13">
        <v>33.018</v>
      </c>
      <c r="V93" s="13">
        <f t="shared" si="8"/>
        <v>0.00390090253800957</v>
      </c>
      <c r="W93" s="13">
        <v>1.04</v>
      </c>
      <c r="X93" s="13">
        <f t="shared" si="9"/>
        <v>0.123846153846154</v>
      </c>
      <c r="Y93" s="13">
        <v>0.19368</v>
      </c>
      <c r="Z93" s="13">
        <v>0.416671</v>
      </c>
      <c r="AA93" s="13">
        <v>0.1598</v>
      </c>
      <c r="AB93" s="13">
        <v>2.9544</v>
      </c>
      <c r="AC93" s="13">
        <v>0.4798</v>
      </c>
      <c r="AD93" s="13">
        <v>0.802</v>
      </c>
      <c r="AE93" s="13">
        <v>0.003227</v>
      </c>
      <c r="AF93" s="13">
        <v>0</v>
      </c>
      <c r="AG93" s="13">
        <v>45.2971859086687</v>
      </c>
      <c r="AH93" s="13">
        <f t="shared" si="10"/>
        <v>0</v>
      </c>
      <c r="AI93" s="13">
        <v>1.57</v>
      </c>
      <c r="AJ93" s="13">
        <f t="shared" si="11"/>
        <v>0</v>
      </c>
      <c r="AK93" s="13">
        <v>0.701778</v>
      </c>
      <c r="AL93" s="13">
        <v>0.440934</v>
      </c>
      <c r="AM93" s="13">
        <v>0.3137</v>
      </c>
      <c r="AN93" s="13">
        <v>5.069</v>
      </c>
      <c r="AO93" s="13">
        <v>0.658680574304503</v>
      </c>
      <c r="AP93" s="13">
        <v>0.497258700028513</v>
      </c>
      <c r="AQ93" s="13">
        <v>0.326083</v>
      </c>
      <c r="AR93" s="13">
        <v>0.127</v>
      </c>
      <c r="AS93" s="13">
        <v>33.4781436218516</v>
      </c>
      <c r="AT93" s="13">
        <f t="shared" si="12"/>
        <v>0.00379351977918828</v>
      </c>
      <c r="AU93" s="13">
        <v>1.03</v>
      </c>
      <c r="AV93" s="13">
        <f t="shared" si="13"/>
        <v>0.123300970873786</v>
      </c>
      <c r="AW93" s="13">
        <v>0.307543</v>
      </c>
      <c r="AX93" s="13">
        <v>0.403999</v>
      </c>
      <c r="AY93" s="13">
        <v>0.2213</v>
      </c>
      <c r="AZ93" s="13">
        <v>3.4318</v>
      </c>
      <c r="BA93" s="13">
        <v>0.285909349341729</v>
      </c>
      <c r="BB93" s="13">
        <v>0.538247760324718</v>
      </c>
      <c r="BC93" s="13">
        <v>0.602653</v>
      </c>
    </row>
    <row r="94" spans="1:55">
      <c r="A94" s="8" t="s">
        <v>361</v>
      </c>
      <c r="B94" s="8" t="s">
        <v>362</v>
      </c>
      <c r="C94" s="8" t="s">
        <v>82</v>
      </c>
      <c r="D94" s="9">
        <v>13804</v>
      </c>
      <c r="E94" s="8" t="s">
        <v>58</v>
      </c>
      <c r="F94" s="8" t="s">
        <v>67</v>
      </c>
      <c r="G94" s="10">
        <v>30612476407.28</v>
      </c>
      <c r="H94" s="10">
        <v>11</v>
      </c>
      <c r="I94" s="9">
        <v>588933147</v>
      </c>
      <c r="J94" s="9">
        <v>870349313</v>
      </c>
      <c r="K94" s="11">
        <v>98.2597</v>
      </c>
      <c r="L94" s="12">
        <v>42166</v>
      </c>
      <c r="M94" s="12">
        <v>38926</v>
      </c>
      <c r="N94" s="9">
        <f t="shared" si="7"/>
        <v>3240</v>
      </c>
      <c r="O94" s="13">
        <v>15.49</v>
      </c>
      <c r="P94" s="13">
        <v>15.1</v>
      </c>
      <c r="Q94" s="13"/>
      <c r="R94" s="8"/>
      <c r="S94" s="13">
        <v>163655</v>
      </c>
      <c r="T94" s="13">
        <v>0.30033</v>
      </c>
      <c r="U94" s="13">
        <v>32.4135</v>
      </c>
      <c r="V94" s="13">
        <f t="shared" si="8"/>
        <v>0.00926558378453422</v>
      </c>
      <c r="W94" s="13">
        <v>1.34</v>
      </c>
      <c r="X94" s="13">
        <f t="shared" si="9"/>
        <v>0.224126865671642</v>
      </c>
      <c r="Y94" s="13">
        <v>0.139477</v>
      </c>
      <c r="Z94" s="13">
        <v>0.107574</v>
      </c>
      <c r="AA94" s="13">
        <v>0.5871</v>
      </c>
      <c r="AB94" s="13">
        <v>2.2085</v>
      </c>
      <c r="AC94" s="13">
        <v>0.1266</v>
      </c>
      <c r="AD94" s="13">
        <v>0.2463</v>
      </c>
      <c r="AE94" s="13">
        <v>0.353062</v>
      </c>
      <c r="AF94" s="13">
        <v>0.19</v>
      </c>
      <c r="AG94" s="13">
        <v>17.320673534933</v>
      </c>
      <c r="AH94" s="13">
        <f t="shared" si="10"/>
        <v>0.0109695503247492</v>
      </c>
      <c r="AI94" s="13">
        <v>0.92</v>
      </c>
      <c r="AJ94" s="13">
        <f t="shared" si="11"/>
        <v>0.206521739130435</v>
      </c>
      <c r="AK94" s="13">
        <v>0.119735</v>
      </c>
      <c r="AL94" s="13">
        <v>0.10027</v>
      </c>
      <c r="AM94" s="13">
        <v>0.568</v>
      </c>
      <c r="AN94" s="13">
        <v>2.1024</v>
      </c>
      <c r="AO94" s="13">
        <v>0.157292382583855</v>
      </c>
      <c r="AP94" s="13">
        <v>0.321288185001352</v>
      </c>
      <c r="AQ94" s="13">
        <v>0.060971</v>
      </c>
      <c r="AR94" s="13">
        <v>0.19</v>
      </c>
      <c r="AS94" s="13">
        <v>21.6357559285659</v>
      </c>
      <c r="AT94" s="13">
        <f t="shared" si="12"/>
        <v>0.00878175926125794</v>
      </c>
      <c r="AU94" s="13">
        <v>0.78</v>
      </c>
      <c r="AV94" s="13">
        <f t="shared" si="13"/>
        <v>0.243589743589744</v>
      </c>
      <c r="AW94" s="13">
        <v>0.092201</v>
      </c>
      <c r="AX94" s="13">
        <v>0.084646</v>
      </c>
      <c r="AY94" s="13">
        <v>0.5006</v>
      </c>
      <c r="AZ94" s="13">
        <v>2.1759</v>
      </c>
      <c r="BA94" s="13">
        <v>0.161358769094192</v>
      </c>
      <c r="BB94" s="13">
        <v>0.311519829954504</v>
      </c>
      <c r="BC94" s="13">
        <v>0.005846</v>
      </c>
    </row>
    <row r="95" spans="1:55">
      <c r="A95" s="8" t="s">
        <v>363</v>
      </c>
      <c r="B95" s="8" t="s">
        <v>364</v>
      </c>
      <c r="C95" s="8" t="s">
        <v>82</v>
      </c>
      <c r="D95" s="9">
        <v>49902</v>
      </c>
      <c r="E95" s="8" t="s">
        <v>58</v>
      </c>
      <c r="F95" s="8" t="s">
        <v>292</v>
      </c>
      <c r="G95" s="10">
        <v>92275779615.23</v>
      </c>
      <c r="H95" s="10">
        <v>12</v>
      </c>
      <c r="I95" s="9">
        <v>5365076876</v>
      </c>
      <c r="J95" s="9">
        <v>6653927141</v>
      </c>
      <c r="K95" s="11">
        <v>89.6119</v>
      </c>
      <c r="L95" s="12">
        <v>42310</v>
      </c>
      <c r="M95" s="12">
        <v>34176</v>
      </c>
      <c r="N95" s="9">
        <f t="shared" si="7"/>
        <v>8134</v>
      </c>
      <c r="O95" s="13">
        <v>3.91</v>
      </c>
      <c r="P95" s="13">
        <v>2.7</v>
      </c>
      <c r="Q95" s="13">
        <v>2.58</v>
      </c>
      <c r="R95" s="8" t="s">
        <v>365</v>
      </c>
      <c r="S95" s="13">
        <v>81077</v>
      </c>
      <c r="T95" s="13">
        <v>0.2</v>
      </c>
      <c r="U95" s="13">
        <v>19.0476</v>
      </c>
      <c r="V95" s="13">
        <f t="shared" si="8"/>
        <v>0.0105000105000105</v>
      </c>
      <c r="W95" s="13">
        <v>1.3924</v>
      </c>
      <c r="X95" s="13">
        <f t="shared" si="9"/>
        <v>0.143636885952313</v>
      </c>
      <c r="Y95" s="13">
        <v>0.249427</v>
      </c>
      <c r="Z95" s="13">
        <v>0.0916</v>
      </c>
      <c r="AA95" s="13">
        <v>1.1237</v>
      </c>
      <c r="AB95" s="13">
        <v>2.5232</v>
      </c>
      <c r="AC95" s="13">
        <v>0.1868</v>
      </c>
      <c r="AD95" s="13">
        <v>0.2246</v>
      </c>
      <c r="AE95" s="13">
        <v>0.166849</v>
      </c>
      <c r="AF95" s="13">
        <v>0.2</v>
      </c>
      <c r="AG95" s="13">
        <v>20.7760597684866</v>
      </c>
      <c r="AH95" s="13">
        <f t="shared" si="10"/>
        <v>0.00962646441282204</v>
      </c>
      <c r="AI95" s="13">
        <v>0.8206</v>
      </c>
      <c r="AJ95" s="13">
        <f t="shared" si="11"/>
        <v>0.243724104313917</v>
      </c>
      <c r="AK95" s="13">
        <v>0.146609</v>
      </c>
      <c r="AL95" s="13">
        <v>0.06738</v>
      </c>
      <c r="AM95" s="13">
        <v>0.8593</v>
      </c>
      <c r="AN95" s="13">
        <v>2.7009</v>
      </c>
      <c r="AO95" s="13">
        <v>0.13227247281264</v>
      </c>
      <c r="AP95" s="13">
        <v>0.299577181191041</v>
      </c>
      <c r="AQ95" s="13">
        <v>0.288781</v>
      </c>
      <c r="AR95" s="13">
        <v>0.1</v>
      </c>
      <c r="AS95" s="13">
        <v>18.9063168673429</v>
      </c>
      <c r="AT95" s="13">
        <f t="shared" si="12"/>
        <v>0.00528923749145087</v>
      </c>
      <c r="AU95" s="13">
        <v>-0.9707</v>
      </c>
      <c r="AV95" s="13">
        <f t="shared" si="13"/>
        <v>-0.103018440300814</v>
      </c>
      <c r="AW95" s="13">
        <v>-0.175627</v>
      </c>
      <c r="AX95" s="13">
        <v>-0.07105</v>
      </c>
      <c r="AY95" s="13">
        <v>0.9417</v>
      </c>
      <c r="AZ95" s="13">
        <v>2.6246</v>
      </c>
      <c r="BA95" s="13">
        <v>0.084451100840442</v>
      </c>
      <c r="BB95" s="13">
        <v>0.208203930628544</v>
      </c>
      <c r="BC95" s="13">
        <v>0.074004</v>
      </c>
    </row>
    <row r="96" spans="1:55">
      <c r="A96" s="8" t="s">
        <v>366</v>
      </c>
      <c r="B96" s="8" t="s">
        <v>367</v>
      </c>
      <c r="C96" s="8" t="s">
        <v>82</v>
      </c>
      <c r="D96" s="9">
        <v>5212</v>
      </c>
      <c r="E96" s="8" t="s">
        <v>104</v>
      </c>
      <c r="F96" s="8" t="s">
        <v>67</v>
      </c>
      <c r="G96" s="10">
        <v>21356332939.88</v>
      </c>
      <c r="H96" s="10">
        <v>5</v>
      </c>
      <c r="I96" s="9">
        <v>860762756</v>
      </c>
      <c r="J96" s="9">
        <v>993972352</v>
      </c>
      <c r="K96" s="11">
        <v>89.0761</v>
      </c>
      <c r="L96" s="12">
        <v>42432</v>
      </c>
      <c r="M96" s="12">
        <v>39553</v>
      </c>
      <c r="N96" s="9">
        <f t="shared" si="7"/>
        <v>2879</v>
      </c>
      <c r="O96" s="13">
        <v>7.12</v>
      </c>
      <c r="P96" s="13">
        <v>6.24</v>
      </c>
      <c r="Q96" s="13">
        <v>5.09</v>
      </c>
      <c r="R96" s="8"/>
      <c r="S96" s="13">
        <v>155317</v>
      </c>
      <c r="T96" s="13">
        <v>0.45</v>
      </c>
      <c r="U96" s="13">
        <v>90.8906</v>
      </c>
      <c r="V96" s="13">
        <f t="shared" si="8"/>
        <v>0.00495100703483088</v>
      </c>
      <c r="W96" s="13">
        <v>4</v>
      </c>
      <c r="X96" s="13">
        <f t="shared" si="9"/>
        <v>0.1125</v>
      </c>
      <c r="Y96" s="13">
        <v>0.411453</v>
      </c>
      <c r="Z96" s="13">
        <v>0.328191</v>
      </c>
      <c r="AA96" s="13">
        <v>0.9245</v>
      </c>
      <c r="AB96" s="13">
        <v>1.3561</v>
      </c>
      <c r="AC96" s="13">
        <v>0.0741</v>
      </c>
      <c r="AD96" s="13">
        <v>0.4214</v>
      </c>
      <c r="AE96" s="13">
        <v>1.791456</v>
      </c>
      <c r="AF96" s="13">
        <v>0.126</v>
      </c>
      <c r="AG96" s="13">
        <v>28.1880600670724</v>
      </c>
      <c r="AH96" s="13">
        <f t="shared" si="10"/>
        <v>0.00446997770333212</v>
      </c>
      <c r="AI96" s="13">
        <v>1.79</v>
      </c>
      <c r="AJ96" s="13">
        <f t="shared" si="11"/>
        <v>0.070391061452514</v>
      </c>
      <c r="AK96" s="13">
        <v>0.205642</v>
      </c>
      <c r="AL96" s="13">
        <v>0.272938</v>
      </c>
      <c r="AM96" s="13">
        <v>0.6165</v>
      </c>
      <c r="AN96" s="13">
        <v>1.2222</v>
      </c>
      <c r="AO96" s="13">
        <v>0.251120278375341</v>
      </c>
      <c r="AP96" s="13">
        <v>1.95166978928094</v>
      </c>
      <c r="AQ96" s="13">
        <v>0.138289</v>
      </c>
      <c r="AR96" s="13">
        <v>0.155</v>
      </c>
      <c r="AS96" s="13">
        <v>52.1874319478787</v>
      </c>
      <c r="AT96" s="13">
        <f t="shared" si="12"/>
        <v>0.0029700637531811</v>
      </c>
      <c r="AU96" s="13">
        <v>0.97</v>
      </c>
      <c r="AV96" s="13">
        <f t="shared" si="13"/>
        <v>0.15979381443299</v>
      </c>
      <c r="AW96" s="13">
        <v>0.133725</v>
      </c>
      <c r="AX96" s="13">
        <v>0.222224</v>
      </c>
      <c r="AY96" s="13">
        <v>0.503</v>
      </c>
      <c r="AZ96" s="13">
        <v>1.1963</v>
      </c>
      <c r="BA96" s="13">
        <v>0.402241250117396</v>
      </c>
      <c r="BB96" s="13">
        <v>2.92984725095232</v>
      </c>
      <c r="BC96" s="13">
        <v>-0.06433</v>
      </c>
    </row>
    <row r="97" spans="1:55">
      <c r="A97" s="8" t="s">
        <v>368</v>
      </c>
      <c r="B97" s="8" t="s">
        <v>369</v>
      </c>
      <c r="C97" s="8" t="s">
        <v>82</v>
      </c>
      <c r="D97" s="9">
        <v>2169</v>
      </c>
      <c r="E97" s="8" t="s">
        <v>370</v>
      </c>
      <c r="F97" s="8" t="s">
        <v>67</v>
      </c>
      <c r="G97" s="10">
        <v>9783329540.81</v>
      </c>
      <c r="H97" s="10">
        <v>3</v>
      </c>
      <c r="I97" s="9">
        <v>519072492</v>
      </c>
      <c r="J97" s="9">
        <v>1266730887</v>
      </c>
      <c r="K97" s="11">
        <v>57.289</v>
      </c>
      <c r="L97" s="12">
        <v>42811</v>
      </c>
      <c r="M97" s="12">
        <v>37200</v>
      </c>
      <c r="N97" s="9">
        <f t="shared" si="7"/>
        <v>5611</v>
      </c>
      <c r="O97" s="13">
        <v>17.37</v>
      </c>
      <c r="P97" s="13">
        <v>16.61</v>
      </c>
      <c r="Q97" s="13">
        <v>10.44</v>
      </c>
      <c r="R97" s="8" t="s">
        <v>371</v>
      </c>
      <c r="S97" s="13">
        <v>38524</v>
      </c>
      <c r="T97" s="13">
        <v>1.3</v>
      </c>
      <c r="U97" s="13">
        <v>35.1161</v>
      </c>
      <c r="V97" s="13">
        <f t="shared" si="8"/>
        <v>0.0370200563274396</v>
      </c>
      <c r="W97" s="13">
        <v>2.0951</v>
      </c>
      <c r="X97" s="13">
        <f t="shared" si="9"/>
        <v>0.620495441745024</v>
      </c>
      <c r="Y97" s="13">
        <v>0.310173</v>
      </c>
      <c r="Z97" s="13">
        <v>0.471037</v>
      </c>
      <c r="AA97" s="13">
        <v>0.6025</v>
      </c>
      <c r="AB97" s="13">
        <v>1.0929</v>
      </c>
      <c r="AC97" s="13">
        <v>0.4463</v>
      </c>
      <c r="AD97" s="13">
        <v>7.7953</v>
      </c>
      <c r="AE97" s="13">
        <v>0.292845</v>
      </c>
      <c r="AF97" s="13">
        <v>1.3</v>
      </c>
      <c r="AG97" s="13">
        <v>72.7017987469207</v>
      </c>
      <c r="AH97" s="13">
        <f t="shared" si="10"/>
        <v>0.0178812632205343</v>
      </c>
      <c r="AI97" s="13">
        <v>2.4185</v>
      </c>
      <c r="AJ97" s="13">
        <f t="shared" si="11"/>
        <v>0.537523258217904</v>
      </c>
      <c r="AK97" s="13">
        <v>0.306217</v>
      </c>
      <c r="AL97" s="13">
        <v>0.452684</v>
      </c>
      <c r="AM97" s="13">
        <v>0.6123</v>
      </c>
      <c r="AN97" s="13">
        <v>1.1047</v>
      </c>
      <c r="AO97" s="13">
        <v>0.441285951267816</v>
      </c>
      <c r="AP97" s="13">
        <v>7.87920540733526</v>
      </c>
      <c r="AQ97" s="13">
        <v>0.305711</v>
      </c>
      <c r="AR97" s="13">
        <v>0.9</v>
      </c>
      <c r="AS97" s="13">
        <v>48.9820185120851</v>
      </c>
      <c r="AT97" s="13">
        <f t="shared" si="12"/>
        <v>0.0183740896626779</v>
      </c>
      <c r="AU97" s="13">
        <v>1.5906</v>
      </c>
      <c r="AV97" s="13">
        <f t="shared" si="13"/>
        <v>0.565824217276499</v>
      </c>
      <c r="AW97" s="13">
        <v>0.25101</v>
      </c>
      <c r="AX97" s="13">
        <v>0.462329</v>
      </c>
      <c r="AY97" s="13">
        <v>0.4971</v>
      </c>
      <c r="AZ97" s="13">
        <v>1.0921</v>
      </c>
      <c r="BA97" s="13">
        <v>0.414416326906755</v>
      </c>
      <c r="BB97" s="13">
        <v>7.44395310717243</v>
      </c>
      <c r="BC97" s="13">
        <v>-0.096146</v>
      </c>
    </row>
    <row r="98" spans="1:55">
      <c r="A98" s="8" t="s">
        <v>372</v>
      </c>
      <c r="B98" s="8" t="s">
        <v>373</v>
      </c>
      <c r="C98" s="8" t="s">
        <v>82</v>
      </c>
      <c r="D98" s="9">
        <v>1598</v>
      </c>
      <c r="E98" s="8" t="s">
        <v>132</v>
      </c>
      <c r="F98" s="8" t="s">
        <v>67</v>
      </c>
      <c r="G98" s="10">
        <v>6363021148.84</v>
      </c>
      <c r="H98" s="10">
        <v>0</v>
      </c>
      <c r="I98" s="9">
        <v>392845128</v>
      </c>
      <c r="J98" s="9">
        <v>618046305</v>
      </c>
      <c r="K98" s="11">
        <v>95.9071</v>
      </c>
      <c r="L98" s="12">
        <v>42892</v>
      </c>
      <c r="M98" s="12">
        <v>39108</v>
      </c>
      <c r="N98" s="9">
        <f t="shared" si="7"/>
        <v>3784</v>
      </c>
      <c r="O98" s="13">
        <v>19</v>
      </c>
      <c r="P98" s="13">
        <v>8.21</v>
      </c>
      <c r="Q98" s="13"/>
      <c r="R98" s="8"/>
      <c r="S98" s="13">
        <v>110773</v>
      </c>
      <c r="T98" s="13">
        <v>0.2</v>
      </c>
      <c r="U98" s="13">
        <v>81.7853</v>
      </c>
      <c r="V98" s="13">
        <f t="shared" si="8"/>
        <v>0.00244542723447857</v>
      </c>
      <c r="W98" s="13">
        <v>1.0619</v>
      </c>
      <c r="X98" s="13">
        <f t="shared" si="9"/>
        <v>0.188341651756286</v>
      </c>
      <c r="Y98" s="13">
        <v>0.118265</v>
      </c>
      <c r="Z98" s="13">
        <v>0.146747</v>
      </c>
      <c r="AA98" s="13">
        <v>0.6389</v>
      </c>
      <c r="AB98" s="13">
        <v>1.2386</v>
      </c>
      <c r="AC98" s="13">
        <v>0.1641</v>
      </c>
      <c r="AD98" s="13">
        <v>2.5239</v>
      </c>
      <c r="AE98" s="13">
        <v>0.279567</v>
      </c>
      <c r="AF98" s="13">
        <v>0.3</v>
      </c>
      <c r="AG98" s="13">
        <v>209.696844709884</v>
      </c>
      <c r="AH98" s="13">
        <f t="shared" si="10"/>
        <v>0.00143063669086223</v>
      </c>
      <c r="AI98" s="13">
        <v>2.4533</v>
      </c>
      <c r="AJ98" s="13">
        <f t="shared" si="11"/>
        <v>0.122284270166714</v>
      </c>
      <c r="AK98" s="13">
        <v>0.297561</v>
      </c>
      <c r="AL98" s="13">
        <v>0.269246</v>
      </c>
      <c r="AM98" s="13">
        <v>0.8624</v>
      </c>
      <c r="AN98" s="13">
        <v>1.2589</v>
      </c>
      <c r="AO98" s="13">
        <v>0.297375706653559</v>
      </c>
      <c r="AP98" s="13">
        <v>3.13583161604547</v>
      </c>
      <c r="AQ98" s="13">
        <v>0.424029</v>
      </c>
      <c r="AR98" s="13">
        <v>0.1</v>
      </c>
      <c r="AS98" s="13">
        <v>116.013679342973</v>
      </c>
      <c r="AT98" s="13">
        <f t="shared" si="12"/>
        <v>0.00086196731770198</v>
      </c>
      <c r="AU98" s="13">
        <v>0.6011</v>
      </c>
      <c r="AV98" s="13">
        <f t="shared" si="13"/>
        <v>0.16636167027117</v>
      </c>
      <c r="AW98" s="13">
        <v>0.076744</v>
      </c>
      <c r="AX98" s="13">
        <v>0.103198</v>
      </c>
      <c r="AY98" s="13">
        <v>0.578</v>
      </c>
      <c r="AZ98" s="13">
        <v>1.2369</v>
      </c>
      <c r="BA98" s="13">
        <v>0.0652482133804232</v>
      </c>
      <c r="BB98" s="13">
        <v>3.38515096870658</v>
      </c>
      <c r="BC98" s="13">
        <v>-0.179396</v>
      </c>
    </row>
    <row r="99" spans="1:55">
      <c r="A99" s="8" t="s">
        <v>374</v>
      </c>
      <c r="B99" s="8" t="s">
        <v>375</v>
      </c>
      <c r="C99" s="8" t="s">
        <v>82</v>
      </c>
      <c r="D99" s="9">
        <v>131988</v>
      </c>
      <c r="E99" s="8" t="s">
        <v>370</v>
      </c>
      <c r="F99" s="8" t="s">
        <v>67</v>
      </c>
      <c r="G99" s="10">
        <v>896082131000</v>
      </c>
      <c r="H99" s="10">
        <v>0</v>
      </c>
      <c r="I99" s="9">
        <v>2811288070</v>
      </c>
      <c r="J99" s="9">
        <v>4563608365</v>
      </c>
      <c r="K99" s="11">
        <v>93.2679</v>
      </c>
      <c r="L99" s="12">
        <v>43262</v>
      </c>
      <c r="M99" s="12">
        <v>40893</v>
      </c>
      <c r="N99" s="9">
        <f t="shared" si="7"/>
        <v>2369</v>
      </c>
      <c r="O99" s="13">
        <v>22.454</v>
      </c>
      <c r="P99" s="13">
        <v>14.4808</v>
      </c>
      <c r="Q99" s="13">
        <v>9.2118</v>
      </c>
      <c r="R99" s="8"/>
      <c r="S99" s="13">
        <v>227422</v>
      </c>
      <c r="T99" s="13">
        <v>4.553</v>
      </c>
      <c r="U99" s="13">
        <v>208.2205</v>
      </c>
      <c r="V99" s="13">
        <f t="shared" si="8"/>
        <v>0.0218662427570772</v>
      </c>
      <c r="W99" s="13">
        <v>11.58</v>
      </c>
      <c r="X99" s="13">
        <f t="shared" si="9"/>
        <v>0.393177892918826</v>
      </c>
      <c r="Y99" s="13">
        <v>0.228252</v>
      </c>
      <c r="Z99" s="13">
        <v>0.149185</v>
      </c>
      <c r="AA99" s="13">
        <v>0.4815</v>
      </c>
      <c r="AB99" s="13">
        <v>3.3821</v>
      </c>
      <c r="AC99" s="13">
        <v>0.2679</v>
      </c>
      <c r="AD99" s="13">
        <v>1.0024</v>
      </c>
      <c r="AE99" s="13">
        <v>-0.097039</v>
      </c>
      <c r="AF99" s="13">
        <v>2.52</v>
      </c>
      <c r="AG99" s="13">
        <v>464.032248968712</v>
      </c>
      <c r="AH99" s="13">
        <f t="shared" si="10"/>
        <v>0.00543065704075648</v>
      </c>
      <c r="AI99" s="13">
        <v>12.9178</v>
      </c>
      <c r="AJ99" s="13">
        <f t="shared" si="11"/>
        <v>0.195079657526823</v>
      </c>
      <c r="AK99" s="13">
        <v>0.246826</v>
      </c>
      <c r="AL99" s="13">
        <v>0.101819</v>
      </c>
      <c r="AM99" s="13">
        <v>0.7233</v>
      </c>
      <c r="AN99" s="13">
        <v>3.6492</v>
      </c>
      <c r="AO99" s="13">
        <v>0.186274994760822</v>
      </c>
      <c r="AP99" s="13">
        <v>0.664558689788516</v>
      </c>
      <c r="AQ99" s="13">
        <v>1.520747</v>
      </c>
      <c r="AR99" s="13">
        <v>5.028</v>
      </c>
      <c r="AS99" s="13">
        <v>253.628714953078</v>
      </c>
      <c r="AT99" s="13">
        <f t="shared" si="12"/>
        <v>0.0198242537361363</v>
      </c>
      <c r="AU99" s="13">
        <v>11.79</v>
      </c>
      <c r="AV99" s="13">
        <f t="shared" si="13"/>
        <v>0.4264631043257</v>
      </c>
      <c r="AW99" s="13">
        <v>0.243636</v>
      </c>
      <c r="AX99" s="13">
        <v>0.116635</v>
      </c>
      <c r="AY99" s="13">
        <v>0.6083</v>
      </c>
      <c r="AZ99" s="13">
        <v>3.6393</v>
      </c>
      <c r="BA99" s="13">
        <v>0.231534492186915</v>
      </c>
      <c r="BB99" s="13">
        <v>0.927055802733942</v>
      </c>
      <c r="BC99" s="13">
        <v>0.220099</v>
      </c>
    </row>
    <row r="100" spans="1:55">
      <c r="A100" s="8" t="s">
        <v>376</v>
      </c>
      <c r="B100" s="8" t="s">
        <v>377</v>
      </c>
      <c r="C100" s="8" t="s">
        <v>82</v>
      </c>
      <c r="D100" s="9">
        <v>22908</v>
      </c>
      <c r="E100" s="8" t="s">
        <v>132</v>
      </c>
      <c r="F100" s="8" t="s">
        <v>342</v>
      </c>
      <c r="G100" s="10">
        <v>25801120466.5</v>
      </c>
      <c r="H100" s="10">
        <v>4</v>
      </c>
      <c r="I100" s="9">
        <v>931195678</v>
      </c>
      <c r="J100" s="9">
        <v>1778195525</v>
      </c>
      <c r="K100" s="11">
        <v>79.8216</v>
      </c>
      <c r="L100" s="12">
        <v>43493</v>
      </c>
      <c r="M100" s="12">
        <v>38169</v>
      </c>
      <c r="N100" s="9">
        <f t="shared" si="7"/>
        <v>5324</v>
      </c>
      <c r="O100" s="13">
        <v>16.96</v>
      </c>
      <c r="P100" s="13">
        <v>12.3146</v>
      </c>
      <c r="Q100" s="13">
        <v>10.15</v>
      </c>
      <c r="R100" s="8"/>
      <c r="S100" s="13">
        <v>86504</v>
      </c>
      <c r="T100" s="13">
        <v>0.2</v>
      </c>
      <c r="U100" s="13">
        <v>24.544</v>
      </c>
      <c r="V100" s="13">
        <f t="shared" si="8"/>
        <v>0.00814863102998696</v>
      </c>
      <c r="W100" s="13">
        <v>1.0133</v>
      </c>
      <c r="X100" s="13">
        <f t="shared" si="9"/>
        <v>0.197374913648475</v>
      </c>
      <c r="Y100" s="13">
        <v>0.137022</v>
      </c>
      <c r="Z100" s="13">
        <v>0.139638</v>
      </c>
      <c r="AA100" s="13">
        <v>0.4871</v>
      </c>
      <c r="AB100" s="13">
        <v>1.9256</v>
      </c>
      <c r="AC100" s="13">
        <v>0.2099</v>
      </c>
      <c r="AD100" s="13">
        <v>0.6652</v>
      </c>
      <c r="AE100" s="13">
        <v>0.063943</v>
      </c>
      <c r="AF100" s="13">
        <v>0.3</v>
      </c>
      <c r="AG100" s="13">
        <v>82.6214715893839</v>
      </c>
      <c r="AH100" s="13">
        <f t="shared" si="10"/>
        <v>0.00363101738844539</v>
      </c>
      <c r="AI100" s="13">
        <v>1.1625</v>
      </c>
      <c r="AJ100" s="13">
        <f t="shared" si="11"/>
        <v>0.258064516129032</v>
      </c>
      <c r="AK100" s="13">
        <v>0.132954</v>
      </c>
      <c r="AL100" s="13">
        <v>0.131707</v>
      </c>
      <c r="AM100" s="13">
        <v>0.5281</v>
      </c>
      <c r="AN100" s="13">
        <v>1.8804</v>
      </c>
      <c r="AO100" s="13">
        <v>0.208723579492204</v>
      </c>
      <c r="AP100" s="13">
        <v>0.573261289928221</v>
      </c>
      <c r="AQ100" s="13">
        <v>0.379179</v>
      </c>
      <c r="AR100" s="13">
        <v>0.2</v>
      </c>
      <c r="AS100" s="13">
        <v>40.2170404939093</v>
      </c>
      <c r="AT100" s="13">
        <f t="shared" si="12"/>
        <v>0.00497301635186928</v>
      </c>
      <c r="AU100" s="13">
        <v>0.9033</v>
      </c>
      <c r="AV100" s="13">
        <f t="shared" si="13"/>
        <v>0.221410384147016</v>
      </c>
      <c r="AW100" s="13">
        <v>0.138591</v>
      </c>
      <c r="AX100" s="13">
        <v>0.137093</v>
      </c>
      <c r="AY100" s="13">
        <v>0.4913</v>
      </c>
      <c r="AZ100" s="13">
        <v>2.0328</v>
      </c>
      <c r="BA100" s="13">
        <v>0.238649663231627</v>
      </c>
      <c r="BB100" s="13">
        <v>1.78986715256958</v>
      </c>
      <c r="BC100" s="13">
        <v>0.123872</v>
      </c>
    </row>
    <row r="101" spans="1:55">
      <c r="A101" s="8" t="s">
        <v>378</v>
      </c>
      <c r="B101" s="8" t="s">
        <v>379</v>
      </c>
      <c r="C101" s="8" t="s">
        <v>82</v>
      </c>
      <c r="D101" s="9">
        <v>21667</v>
      </c>
      <c r="E101" s="8" t="s">
        <v>58</v>
      </c>
      <c r="F101" s="8" t="s">
        <v>67</v>
      </c>
      <c r="G101" s="10">
        <v>59265123962</v>
      </c>
      <c r="H101" s="10">
        <v>6</v>
      </c>
      <c r="I101" s="9">
        <v>588382284</v>
      </c>
      <c r="J101" s="9">
        <v>1212441394</v>
      </c>
      <c r="K101" s="11">
        <v>99.997</v>
      </c>
      <c r="L101" s="12">
        <v>43389</v>
      </c>
      <c r="M101" s="12">
        <v>36185</v>
      </c>
      <c r="N101" s="9">
        <f t="shared" si="7"/>
        <v>7204</v>
      </c>
      <c r="O101" s="13">
        <v>26.98</v>
      </c>
      <c r="P101" s="13">
        <v>24.49</v>
      </c>
      <c r="Q101" s="13">
        <v>9.62</v>
      </c>
      <c r="R101" s="8" t="s">
        <v>380</v>
      </c>
      <c r="S101" s="13">
        <v>108835</v>
      </c>
      <c r="T101" s="13">
        <v>0.56</v>
      </c>
      <c r="U101" s="13">
        <v>275.2468</v>
      </c>
      <c r="V101" s="13">
        <f t="shared" si="8"/>
        <v>0.00203453773122885</v>
      </c>
      <c r="W101" s="13">
        <v>9.6356</v>
      </c>
      <c r="X101" s="13">
        <f t="shared" si="9"/>
        <v>0.0581178131097181</v>
      </c>
      <c r="Y101" s="13">
        <v>0.338503</v>
      </c>
      <c r="Z101" s="13">
        <v>0.319666</v>
      </c>
      <c r="AA101" s="13">
        <v>0.7023</v>
      </c>
      <c r="AB101" s="13">
        <v>1.517</v>
      </c>
      <c r="AC101" s="13">
        <v>0.3385</v>
      </c>
      <c r="AD101" s="13">
        <v>1.5968</v>
      </c>
      <c r="AE101" s="13">
        <v>0.051353</v>
      </c>
      <c r="AF101" s="13">
        <v>4.5</v>
      </c>
      <c r="AG101" s="13">
        <v>311.844797553552</v>
      </c>
      <c r="AH101" s="13">
        <f t="shared" si="10"/>
        <v>0.0144302551631545</v>
      </c>
      <c r="AI101" s="13">
        <v>7.9402</v>
      </c>
      <c r="AJ101" s="13">
        <f t="shared" si="11"/>
        <v>0.566736354248004</v>
      </c>
      <c r="AK101" s="13">
        <v>0.326034</v>
      </c>
      <c r="AL101" s="13">
        <v>0.3165</v>
      </c>
      <c r="AM101" s="13">
        <v>0.7158</v>
      </c>
      <c r="AN101" s="13">
        <v>1.4397</v>
      </c>
      <c r="AO101" s="13">
        <v>0.399831729291439</v>
      </c>
      <c r="AP101" s="13">
        <v>1.97010418599247</v>
      </c>
      <c r="AQ101" s="13">
        <v>0.201668</v>
      </c>
      <c r="AR101" s="13">
        <v>1.5</v>
      </c>
      <c r="AS101" s="13">
        <v>293.182560002543</v>
      </c>
      <c r="AT101" s="13">
        <f t="shared" si="12"/>
        <v>0.00511626612437994</v>
      </c>
      <c r="AU101" s="13">
        <v>9.5586</v>
      </c>
      <c r="AV101" s="13">
        <f t="shared" si="13"/>
        <v>0.15692674659469</v>
      </c>
      <c r="AW101" s="13">
        <v>0.356014</v>
      </c>
      <c r="AX101" s="13">
        <v>0.331457</v>
      </c>
      <c r="AY101" s="13">
        <v>0.7379</v>
      </c>
      <c r="AZ101" s="13">
        <v>1.4552</v>
      </c>
      <c r="BA101" s="13">
        <v>0.316674014727518</v>
      </c>
      <c r="BB101" s="13">
        <v>1.85979777382017</v>
      </c>
      <c r="BC101" s="13">
        <v>0.150376</v>
      </c>
    </row>
    <row r="102" spans="1:55">
      <c r="A102" s="8" t="s">
        <v>381</v>
      </c>
      <c r="B102" s="8" t="s">
        <v>382</v>
      </c>
      <c r="C102" s="8" t="s">
        <v>82</v>
      </c>
      <c r="D102" s="9">
        <v>2066</v>
      </c>
      <c r="E102" s="8" t="s">
        <v>83</v>
      </c>
      <c r="F102" s="8" t="s">
        <v>67</v>
      </c>
      <c r="G102" s="10">
        <v>14725568014.97</v>
      </c>
      <c r="H102" s="10">
        <v>6</v>
      </c>
      <c r="I102" s="9">
        <v>332377799</v>
      </c>
      <c r="J102" s="9">
        <v>534943198</v>
      </c>
      <c r="K102" s="11">
        <v>83.7935</v>
      </c>
      <c r="L102" s="12">
        <v>43634</v>
      </c>
      <c r="M102" s="12">
        <v>41131</v>
      </c>
      <c r="N102" s="9">
        <f t="shared" si="7"/>
        <v>2503</v>
      </c>
      <c r="O102" s="13">
        <v>11.07</v>
      </c>
      <c r="P102" s="13">
        <v>7.27</v>
      </c>
      <c r="Q102" s="13">
        <v>6.41</v>
      </c>
      <c r="R102" s="8" t="s">
        <v>383</v>
      </c>
      <c r="S102" s="13">
        <v>76595</v>
      </c>
      <c r="T102" s="13">
        <v>0.102</v>
      </c>
      <c r="U102" s="13">
        <v>93.9941</v>
      </c>
      <c r="V102" s="13">
        <f t="shared" si="8"/>
        <v>0.0010851744949949</v>
      </c>
      <c r="W102" s="13">
        <v>0.7522</v>
      </c>
      <c r="X102" s="13">
        <f t="shared" si="9"/>
        <v>0.135602233448551</v>
      </c>
      <c r="Y102" s="13">
        <v>0.040178</v>
      </c>
      <c r="Z102" s="13">
        <v>0.089737</v>
      </c>
      <c r="AA102" s="13">
        <v>0.3562</v>
      </c>
      <c r="AB102" s="13">
        <v>1.2594</v>
      </c>
      <c r="AC102" s="13">
        <v>0.0179</v>
      </c>
      <c r="AD102" s="13">
        <v>0.4749</v>
      </c>
      <c r="AE102" s="13">
        <v>0.024826</v>
      </c>
      <c r="AF102" s="13">
        <v>0.17</v>
      </c>
      <c r="AG102" s="13">
        <v>143.507263669143</v>
      </c>
      <c r="AH102" s="13">
        <f t="shared" si="10"/>
        <v>0.00118460902712169</v>
      </c>
      <c r="AI102" s="13">
        <v>2.0032</v>
      </c>
      <c r="AJ102" s="13">
        <f t="shared" si="11"/>
        <v>0.0848642172523962</v>
      </c>
      <c r="AK102" s="13">
        <v>0.130995</v>
      </c>
      <c r="AL102" s="13">
        <v>0.293227</v>
      </c>
      <c r="AM102" s="13">
        <v>0.4097</v>
      </c>
      <c r="AN102" s="13">
        <v>1.0997</v>
      </c>
      <c r="AO102" s="13">
        <v>0.25621832411671</v>
      </c>
      <c r="AP102" s="13">
        <v>1.77125178036876</v>
      </c>
      <c r="AQ102" s="13">
        <v>-0.206337</v>
      </c>
      <c r="AR102" s="13">
        <v>0.2237585</v>
      </c>
      <c r="AS102" s="13">
        <v>122.534498324316</v>
      </c>
      <c r="AT102" s="13">
        <f t="shared" si="12"/>
        <v>0.00182608573960756</v>
      </c>
      <c r="AU102" s="13">
        <v>2.1026</v>
      </c>
      <c r="AV102" s="13">
        <f t="shared" si="13"/>
        <v>0.106419908684486</v>
      </c>
      <c r="AW102" s="13">
        <v>0.121433</v>
      </c>
      <c r="AX102" s="13">
        <v>0.255686</v>
      </c>
      <c r="AY102" s="13">
        <v>0.428</v>
      </c>
      <c r="AZ102" s="13">
        <v>1.1069</v>
      </c>
      <c r="BA102" s="13">
        <v>0.432623497413347</v>
      </c>
      <c r="BB102" s="13">
        <v>1.14508550905541</v>
      </c>
      <c r="BC102" s="13">
        <v>0.190549</v>
      </c>
    </row>
    <row r="103" spans="1:55">
      <c r="A103" s="8" t="s">
        <v>384</v>
      </c>
      <c r="B103" s="8" t="s">
        <v>385</v>
      </c>
      <c r="C103" s="8" t="s">
        <v>82</v>
      </c>
      <c r="D103" s="9">
        <v>2720</v>
      </c>
      <c r="E103" s="8" t="s">
        <v>132</v>
      </c>
      <c r="F103" s="8" t="s">
        <v>59</v>
      </c>
      <c r="G103" s="10">
        <v>14183208699</v>
      </c>
      <c r="H103" s="10">
        <v>0</v>
      </c>
      <c r="I103" s="9">
        <v>358496225</v>
      </c>
      <c r="J103" s="9">
        <v>608215240</v>
      </c>
      <c r="K103" s="11">
        <v>98.4281</v>
      </c>
      <c r="L103" s="12">
        <v>43787</v>
      </c>
      <c r="M103" s="12">
        <v>37009</v>
      </c>
      <c r="N103" s="9">
        <f t="shared" si="7"/>
        <v>6778</v>
      </c>
      <c r="O103" s="13">
        <v>39.49</v>
      </c>
      <c r="P103" s="13">
        <v>2.8</v>
      </c>
      <c r="Q103" s="13">
        <v>1.27</v>
      </c>
      <c r="R103" s="8" t="s">
        <v>386</v>
      </c>
      <c r="S103" s="13">
        <v>144725</v>
      </c>
      <c r="T103" s="13">
        <v>0</v>
      </c>
      <c r="U103" s="13">
        <v>73.631</v>
      </c>
      <c r="V103" s="13">
        <f t="shared" si="8"/>
        <v>0</v>
      </c>
      <c r="W103" s="13">
        <v>0.25</v>
      </c>
      <c r="X103" s="13">
        <f t="shared" si="9"/>
        <v>0</v>
      </c>
      <c r="Y103" s="13">
        <v>0.050598</v>
      </c>
      <c r="Z103" s="13">
        <v>0.068152</v>
      </c>
      <c r="AA103" s="13">
        <v>0.1875</v>
      </c>
      <c r="AB103" s="13">
        <v>3.9587</v>
      </c>
      <c r="AC103" s="13">
        <v>3.6964</v>
      </c>
      <c r="AD103" s="13">
        <v>0.9544</v>
      </c>
      <c r="AE103" s="13">
        <v>0.373704</v>
      </c>
      <c r="AF103" s="13"/>
      <c r="AG103" s="13">
        <v>47.897424544742</v>
      </c>
      <c r="AH103" s="13">
        <f t="shared" si="10"/>
        <v>0</v>
      </c>
      <c r="AI103" s="13">
        <v>0.83</v>
      </c>
      <c r="AJ103" s="13">
        <f t="shared" si="11"/>
        <v>0</v>
      </c>
      <c r="AK103" s="13">
        <v>0.226872</v>
      </c>
      <c r="AL103" s="13">
        <v>0.269663</v>
      </c>
      <c r="AM103" s="13">
        <v>0.3976</v>
      </c>
      <c r="AN103" s="13">
        <v>2.1161</v>
      </c>
      <c r="AO103" s="13">
        <v>0.307242139912451</v>
      </c>
      <c r="AP103" s="13">
        <v>1.07392457266191</v>
      </c>
      <c r="AQ103" s="13">
        <v>0.346019</v>
      </c>
      <c r="AR103" s="13"/>
      <c r="AS103" s="13">
        <v>60.9784040241921</v>
      </c>
      <c r="AT103" s="13">
        <f t="shared" si="12"/>
        <v>0</v>
      </c>
      <c r="AU103" s="13">
        <v>0.18</v>
      </c>
      <c r="AV103" s="13">
        <f t="shared" si="13"/>
        <v>0</v>
      </c>
      <c r="AW103" s="13">
        <v>0.04063</v>
      </c>
      <c r="AX103" s="13">
        <v>0.065237</v>
      </c>
      <c r="AY103" s="13">
        <v>0.2295</v>
      </c>
      <c r="AZ103" s="13">
        <v>2.7133</v>
      </c>
      <c r="BA103" s="13">
        <v>1.2914869997672</v>
      </c>
      <c r="BB103" s="13">
        <v>1.02455813297593</v>
      </c>
      <c r="BC103" s="13">
        <v>-0.113298</v>
      </c>
    </row>
    <row r="104" spans="1:55">
      <c r="A104" s="8" t="s">
        <v>387</v>
      </c>
      <c r="B104" s="8" t="s">
        <v>388</v>
      </c>
      <c r="C104" s="8" t="s">
        <v>82</v>
      </c>
      <c r="D104" s="9">
        <v>2841</v>
      </c>
      <c r="E104" s="8" t="s">
        <v>58</v>
      </c>
      <c r="F104" s="8" t="s">
        <v>67</v>
      </c>
      <c r="G104" s="10">
        <v>9576812383.78</v>
      </c>
      <c r="H104" s="10">
        <v>10</v>
      </c>
      <c r="I104" s="9">
        <v>330750775</v>
      </c>
      <c r="J104" s="9">
        <v>785718785</v>
      </c>
      <c r="K104" s="11">
        <v>86.7992</v>
      </c>
      <c r="L104" s="12">
        <v>43963</v>
      </c>
      <c r="M104" s="12">
        <v>35048</v>
      </c>
      <c r="N104" s="9">
        <f t="shared" si="7"/>
        <v>8915</v>
      </c>
      <c r="O104" s="13">
        <v>26.88</v>
      </c>
      <c r="P104" s="13">
        <v>13.77</v>
      </c>
      <c r="Q104" s="13">
        <v>10.62</v>
      </c>
      <c r="R104" s="8" t="s">
        <v>389</v>
      </c>
      <c r="S104" s="13">
        <v>13116</v>
      </c>
      <c r="T104" s="13">
        <v>1.3</v>
      </c>
      <c r="U104" s="13">
        <v>70.1342</v>
      </c>
      <c r="V104" s="13">
        <f t="shared" si="8"/>
        <v>0.0185358926172966</v>
      </c>
      <c r="W104" s="13">
        <v>2.3271</v>
      </c>
      <c r="X104" s="13">
        <f t="shared" si="9"/>
        <v>0.558635211207082</v>
      </c>
      <c r="Y104" s="13">
        <v>0.226841</v>
      </c>
      <c r="Z104" s="13">
        <v>0.403152</v>
      </c>
      <c r="AA104" s="13">
        <v>0.5084</v>
      </c>
      <c r="AB104" s="13">
        <v>1.1068</v>
      </c>
      <c r="AC104" s="13">
        <v>0.2991</v>
      </c>
      <c r="AD104" s="13">
        <v>2.9165</v>
      </c>
      <c r="AE104" s="13">
        <v>0.154148</v>
      </c>
      <c r="AF104" s="13">
        <v>0.7</v>
      </c>
      <c r="AG104" s="13">
        <v>46.2519536830905</v>
      </c>
      <c r="AH104" s="13">
        <f t="shared" si="10"/>
        <v>0.0151344958268415</v>
      </c>
      <c r="AI104" s="13">
        <v>1.6907</v>
      </c>
      <c r="AJ104" s="13">
        <f t="shared" si="11"/>
        <v>0.414029691843615</v>
      </c>
      <c r="AK104" s="13">
        <v>0.221108</v>
      </c>
      <c r="AL104" s="13">
        <v>0.435818</v>
      </c>
      <c r="AM104" s="13">
        <v>0.4634</v>
      </c>
      <c r="AN104" s="13">
        <v>1.0948</v>
      </c>
      <c r="AO104" s="13">
        <v>0.315853435254427</v>
      </c>
      <c r="AP104" s="13">
        <v>5.65528867007864</v>
      </c>
      <c r="AQ104" s="13">
        <v>0.197037</v>
      </c>
      <c r="AR104" s="13">
        <v>1</v>
      </c>
      <c r="AS104" s="13">
        <v>61.4260179515748</v>
      </c>
      <c r="AT104" s="13">
        <f t="shared" si="12"/>
        <v>0.0162797464876911</v>
      </c>
      <c r="AU104" s="13">
        <v>2.1054</v>
      </c>
      <c r="AV104" s="13">
        <f t="shared" si="13"/>
        <v>0.474969127006745</v>
      </c>
      <c r="AW104" s="13">
        <v>0.237187</v>
      </c>
      <c r="AX104" s="13">
        <v>0.420814</v>
      </c>
      <c r="AY104" s="13">
        <v>0.5158</v>
      </c>
      <c r="AZ104" s="13">
        <v>1.0927</v>
      </c>
      <c r="BA104" s="13">
        <v>0.360920273098894</v>
      </c>
      <c r="BB104" s="13">
        <v>5.3082855716765</v>
      </c>
      <c r="BC104" s="13">
        <v>0.289699</v>
      </c>
    </row>
    <row r="105" spans="1:55">
      <c r="A105" s="8" t="s">
        <v>390</v>
      </c>
      <c r="B105" s="8" t="s">
        <v>391</v>
      </c>
      <c r="C105" s="8" t="s">
        <v>82</v>
      </c>
      <c r="D105" s="9">
        <v>5638</v>
      </c>
      <c r="E105" s="8" t="s">
        <v>73</v>
      </c>
      <c r="F105" s="8" t="s">
        <v>67</v>
      </c>
      <c r="G105" s="10">
        <v>20020249768.88</v>
      </c>
      <c r="H105" s="10">
        <v>4</v>
      </c>
      <c r="I105" s="9">
        <v>208444511</v>
      </c>
      <c r="J105" s="9">
        <v>536157605</v>
      </c>
      <c r="K105" s="11">
        <v>56.3218</v>
      </c>
      <c r="L105" s="12">
        <v>44067</v>
      </c>
      <c r="M105" s="12">
        <v>40883</v>
      </c>
      <c r="N105" s="9">
        <f t="shared" si="7"/>
        <v>3184</v>
      </c>
      <c r="O105" s="13">
        <v>43.4</v>
      </c>
      <c r="P105" s="13">
        <v>11.81</v>
      </c>
      <c r="Q105" s="13">
        <v>8.1</v>
      </c>
      <c r="R105" s="8" t="s">
        <v>392</v>
      </c>
      <c r="S105" s="13">
        <v>22796</v>
      </c>
      <c r="T105" s="13">
        <v>1.5</v>
      </c>
      <c r="U105" s="13">
        <v>77.2825</v>
      </c>
      <c r="V105" s="13">
        <f t="shared" si="8"/>
        <v>0.0194093099990295</v>
      </c>
      <c r="W105" s="13">
        <v>3.9939</v>
      </c>
      <c r="X105" s="13">
        <f t="shared" si="9"/>
        <v>0.375572748441373</v>
      </c>
      <c r="Y105" s="13">
        <v>0.249373</v>
      </c>
      <c r="Z105" s="13">
        <v>0.089483</v>
      </c>
      <c r="AA105" s="13">
        <v>1.6821</v>
      </c>
      <c r="AB105" s="13">
        <v>1.7325</v>
      </c>
      <c r="AC105" s="13">
        <v>0.1111</v>
      </c>
      <c r="AD105" s="13">
        <v>0.8242</v>
      </c>
      <c r="AE105" s="13">
        <v>0.411424</v>
      </c>
      <c r="AF105" s="13">
        <v>1.2</v>
      </c>
      <c r="AG105" s="13">
        <v>68.0334946272523</v>
      </c>
      <c r="AH105" s="13">
        <f t="shared" si="10"/>
        <v>0.0176383707256942</v>
      </c>
      <c r="AI105" s="13">
        <v>2.81</v>
      </c>
      <c r="AJ105" s="13">
        <f t="shared" si="11"/>
        <v>0.427046263345196</v>
      </c>
      <c r="AK105" s="13">
        <v>0.177317</v>
      </c>
      <c r="AL105" s="13">
        <v>0.083145</v>
      </c>
      <c r="AM105" s="13">
        <v>1.5318</v>
      </c>
      <c r="AN105" s="13">
        <v>1.4432</v>
      </c>
      <c r="AO105" s="13">
        <v>0.0999209505453173</v>
      </c>
      <c r="AP105" s="13">
        <v>1.24353638420439</v>
      </c>
      <c r="AQ105" s="13">
        <v>0.133314</v>
      </c>
      <c r="AR105" s="13">
        <v>2</v>
      </c>
      <c r="AS105" s="13">
        <v>76.6069793496518</v>
      </c>
      <c r="AT105" s="13">
        <f t="shared" si="12"/>
        <v>0.026107281829656</v>
      </c>
      <c r="AU105" s="13">
        <v>3.9733</v>
      </c>
      <c r="AV105" s="13">
        <f t="shared" si="13"/>
        <v>0.50335992751617</v>
      </c>
      <c r="AW105" s="13">
        <v>0.217598</v>
      </c>
      <c r="AX105" s="13">
        <v>0.096757</v>
      </c>
      <c r="AY105" s="13">
        <v>1.5284</v>
      </c>
      <c r="AZ105" s="13">
        <v>1.5434</v>
      </c>
      <c r="BA105" s="13">
        <v>0.0816757166977659</v>
      </c>
      <c r="BB105" s="13">
        <v>1.01215695601778</v>
      </c>
      <c r="BC105" s="13">
        <v>0.228531</v>
      </c>
    </row>
    <row r="106" spans="1:55">
      <c r="A106" s="8" t="s">
        <v>393</v>
      </c>
      <c r="B106" s="8" t="s">
        <v>394</v>
      </c>
      <c r="C106" s="8" t="s">
        <v>82</v>
      </c>
      <c r="D106" s="9">
        <v>1223</v>
      </c>
      <c r="E106" s="8" t="s">
        <v>132</v>
      </c>
      <c r="F106" s="8" t="s">
        <v>67</v>
      </c>
      <c r="G106" s="10">
        <v>8696911509.62</v>
      </c>
      <c r="H106" s="10">
        <v>0</v>
      </c>
      <c r="I106" s="9">
        <v>132506687</v>
      </c>
      <c r="J106" s="9">
        <v>302592061</v>
      </c>
      <c r="K106" s="11">
        <v>68.9349</v>
      </c>
      <c r="L106" s="12">
        <v>44102</v>
      </c>
      <c r="M106" s="12">
        <v>38147</v>
      </c>
      <c r="N106" s="9">
        <f t="shared" si="7"/>
        <v>5955</v>
      </c>
      <c r="O106" s="13">
        <v>31.09</v>
      </c>
      <c r="P106" s="13">
        <v>6.42</v>
      </c>
      <c r="Q106" s="13">
        <v>4.85</v>
      </c>
      <c r="R106" s="8" t="s">
        <v>395</v>
      </c>
      <c r="S106" s="13">
        <v>60403</v>
      </c>
      <c r="T106" s="13">
        <v>3.8</v>
      </c>
      <c r="U106" s="13">
        <v>235.328</v>
      </c>
      <c r="V106" s="13">
        <f t="shared" si="8"/>
        <v>0.0161476747348382</v>
      </c>
      <c r="W106" s="13">
        <v>6.5</v>
      </c>
      <c r="X106" s="13">
        <f t="shared" si="9"/>
        <v>0.584615384615385</v>
      </c>
      <c r="Y106" s="13">
        <v>0.27679</v>
      </c>
      <c r="Z106" s="13">
        <v>0.64658</v>
      </c>
      <c r="AA106" s="13">
        <v>0.3983</v>
      </c>
      <c r="AB106" s="13">
        <v>1.0741</v>
      </c>
      <c r="AC106" s="13">
        <v>0.6369</v>
      </c>
      <c r="AD106" s="13">
        <v>12.7722</v>
      </c>
      <c r="AE106" s="13">
        <v>0.05448</v>
      </c>
      <c r="AF106" s="13">
        <v>2.8</v>
      </c>
      <c r="AG106" s="13">
        <v>501.39584509799</v>
      </c>
      <c r="AH106" s="13">
        <f t="shared" si="10"/>
        <v>0.005584410057193</v>
      </c>
      <c r="AI106" s="13">
        <v>5.84</v>
      </c>
      <c r="AJ106" s="13">
        <f t="shared" si="11"/>
        <v>0.479452054794521</v>
      </c>
      <c r="AK106" s="13">
        <v>0.232366</v>
      </c>
      <c r="AL106" s="13">
        <v>0.653786</v>
      </c>
      <c r="AM106" s="13">
        <v>0.3365</v>
      </c>
      <c r="AN106" s="13">
        <v>1.0596</v>
      </c>
      <c r="AO106" s="13">
        <v>0.615799246581619</v>
      </c>
      <c r="AP106" s="13">
        <v>17.144417657567</v>
      </c>
      <c r="AQ106" s="13">
        <v>0.339095</v>
      </c>
      <c r="AR106" s="13">
        <v>2.323</v>
      </c>
      <c r="AS106" s="13">
        <v>443.092192810158</v>
      </c>
      <c r="AT106" s="13">
        <f t="shared" si="12"/>
        <v>0.00524270126554743</v>
      </c>
      <c r="AU106" s="13">
        <v>8.6</v>
      </c>
      <c r="AV106" s="13">
        <f t="shared" si="13"/>
        <v>0.270116279069767</v>
      </c>
      <c r="AW106" s="13">
        <v>0.304816</v>
      </c>
      <c r="AX106" s="13">
        <v>0.64646</v>
      </c>
      <c r="AY106" s="13">
        <v>0.4377</v>
      </c>
      <c r="AZ106" s="13">
        <v>1.0752</v>
      </c>
      <c r="BA106" s="13">
        <v>0.681015745118753</v>
      </c>
      <c r="BB106" s="13">
        <v>12.221511652655</v>
      </c>
      <c r="BC106" s="13">
        <v>0.479931</v>
      </c>
    </row>
    <row r="107" spans="1:55">
      <c r="A107" s="8" t="s">
        <v>396</v>
      </c>
      <c r="B107" s="8" t="s">
        <v>397</v>
      </c>
      <c r="C107" s="8" t="s">
        <v>157</v>
      </c>
      <c r="D107" s="9">
        <v>177591</v>
      </c>
      <c r="E107" s="8" t="s">
        <v>58</v>
      </c>
      <c r="F107" s="8" t="s">
        <v>67</v>
      </c>
      <c r="G107" s="10">
        <v>23544075475.1</v>
      </c>
      <c r="H107" s="10">
        <v>31</v>
      </c>
      <c r="I107" s="9">
        <v>181084800</v>
      </c>
      <c r="J107" s="9">
        <v>1167000000</v>
      </c>
      <c r="K107" s="11">
        <v>99.9991</v>
      </c>
      <c r="L107" s="12">
        <v>44312</v>
      </c>
      <c r="M107" s="12">
        <v>38232</v>
      </c>
      <c r="N107" s="9">
        <f t="shared" si="7"/>
        <v>6080</v>
      </c>
      <c r="O107" s="13">
        <v>81.8548</v>
      </c>
      <c r="P107" s="13"/>
      <c r="Q107" s="13"/>
      <c r="R107" s="8"/>
      <c r="S107" s="13">
        <v>9800</v>
      </c>
      <c r="T107" s="13">
        <v>2.3</v>
      </c>
      <c r="U107" s="13">
        <v>64.7315</v>
      </c>
      <c r="V107" s="13">
        <f t="shared" si="8"/>
        <v>0.0355313873461916</v>
      </c>
      <c r="W107" s="13">
        <v>3.29</v>
      </c>
      <c r="X107" s="13">
        <f t="shared" si="9"/>
        <v>0.699088145896656</v>
      </c>
      <c r="Y107" s="13">
        <v>0.236031</v>
      </c>
      <c r="Z107" s="13">
        <v>0.159799</v>
      </c>
      <c r="AA107" s="13">
        <v>1.1374</v>
      </c>
      <c r="AB107" s="13">
        <v>1.2972</v>
      </c>
      <c r="AC107" s="13">
        <v>0.1923</v>
      </c>
      <c r="AD107" s="13">
        <v>1.4921</v>
      </c>
      <c r="AE107" s="13">
        <v>0.193532</v>
      </c>
      <c r="AF107" s="13">
        <v>1.2</v>
      </c>
      <c r="AG107" s="13">
        <v>60.5404712584434</v>
      </c>
      <c r="AH107" s="13">
        <f t="shared" si="10"/>
        <v>0.0198214512549345</v>
      </c>
      <c r="AI107" s="13">
        <v>2.77</v>
      </c>
      <c r="AJ107" s="13">
        <f t="shared" si="11"/>
        <v>0.433212996389892</v>
      </c>
      <c r="AK107" s="13">
        <v>0.267639</v>
      </c>
      <c r="AL107" s="13">
        <v>0.156934</v>
      </c>
      <c r="AM107" s="13">
        <v>1.2358</v>
      </c>
      <c r="AN107" s="13">
        <v>1.38</v>
      </c>
      <c r="AO107" s="13">
        <v>0.17032053386849</v>
      </c>
      <c r="AP107" s="13">
        <v>1.50035561054424</v>
      </c>
      <c r="AQ107" s="13">
        <v>0.177434</v>
      </c>
      <c r="AR107" s="13">
        <v>1.2</v>
      </c>
      <c r="AS107" s="13">
        <v>51.1173127449855</v>
      </c>
      <c r="AT107" s="13">
        <f t="shared" si="12"/>
        <v>0.023475412449527</v>
      </c>
      <c r="AU107" s="13">
        <v>2.74</v>
      </c>
      <c r="AV107" s="13">
        <f t="shared" si="13"/>
        <v>0.437956204379562</v>
      </c>
      <c r="AW107" s="13">
        <v>0.226128</v>
      </c>
      <c r="AX107" s="13">
        <v>0.159106</v>
      </c>
      <c r="AY107" s="13">
        <v>1.1004</v>
      </c>
      <c r="AZ107" s="13">
        <v>1.2916</v>
      </c>
      <c r="BA107" s="13">
        <v>0.183675071408045</v>
      </c>
      <c r="BB107" s="13">
        <v>1.4922616321569</v>
      </c>
      <c r="BC107" s="13">
        <v>-0.022146</v>
      </c>
    </row>
    <row r="108" spans="1:55">
      <c r="A108" s="8" t="s">
        <v>398</v>
      </c>
      <c r="B108" s="8" t="s">
        <v>399</v>
      </c>
      <c r="C108" s="8" t="s">
        <v>57</v>
      </c>
      <c r="D108" s="9">
        <v>35383</v>
      </c>
      <c r="E108" s="8" t="s">
        <v>198</v>
      </c>
      <c r="F108" s="8" t="s">
        <v>67</v>
      </c>
      <c r="G108" s="10">
        <v>230018913000</v>
      </c>
      <c r="H108" s="10">
        <v>5</v>
      </c>
      <c r="I108" s="9">
        <v>542647097</v>
      </c>
      <c r="J108" s="9">
        <v>5421591536</v>
      </c>
      <c r="K108" s="11">
        <v>10.009</v>
      </c>
      <c r="L108" s="12">
        <v>44119</v>
      </c>
      <c r="M108" s="12">
        <v>38520</v>
      </c>
      <c r="N108" s="9">
        <f t="shared" si="7"/>
        <v>5599</v>
      </c>
      <c r="O108" s="13">
        <v>89.99</v>
      </c>
      <c r="P108" s="13">
        <v>0.47</v>
      </c>
      <c r="Q108" s="13">
        <v>0.23</v>
      </c>
      <c r="R108" s="8" t="s">
        <v>400</v>
      </c>
      <c r="S108" s="13">
        <v>115847</v>
      </c>
      <c r="T108" s="13">
        <v>0.111</v>
      </c>
      <c r="U108" s="13">
        <v>31.8537</v>
      </c>
      <c r="V108" s="13">
        <f t="shared" si="8"/>
        <v>0.00348468152836248</v>
      </c>
      <c r="W108" s="13">
        <v>0.46</v>
      </c>
      <c r="X108" s="13">
        <f t="shared" si="9"/>
        <v>0.241304347826087</v>
      </c>
      <c r="Y108" s="13">
        <v>0.027015</v>
      </c>
      <c r="Z108" s="13">
        <v>0.010334</v>
      </c>
      <c r="AA108" s="13">
        <v>1.0306</v>
      </c>
      <c r="AB108" s="13">
        <v>2.5026</v>
      </c>
      <c r="AC108" s="13">
        <v>0.0209</v>
      </c>
      <c r="AD108" s="13">
        <v>0.5437</v>
      </c>
      <c r="AE108" s="13">
        <v>-0.050323</v>
      </c>
      <c r="AF108" s="13">
        <v>0.077</v>
      </c>
      <c r="AG108" s="13">
        <v>48.9081318645839</v>
      </c>
      <c r="AH108" s="13">
        <f t="shared" si="10"/>
        <v>0.00157438031395671</v>
      </c>
      <c r="AI108" s="13">
        <v>0.56</v>
      </c>
      <c r="AJ108" s="13">
        <f t="shared" si="11"/>
        <v>0.1375</v>
      </c>
      <c r="AK108" s="13">
        <v>0.034333</v>
      </c>
      <c r="AL108" s="13">
        <v>0.012137</v>
      </c>
      <c r="AM108" s="13">
        <v>1.1833</v>
      </c>
      <c r="AN108" s="13">
        <v>2.481</v>
      </c>
      <c r="AO108" s="13">
        <v>0.0028164116337388</v>
      </c>
      <c r="AP108" s="13">
        <v>0.515645348112248</v>
      </c>
      <c r="AQ108" s="13">
        <v>0.138182</v>
      </c>
      <c r="AR108" s="13">
        <v>0.111</v>
      </c>
      <c r="AS108" s="13">
        <v>40.0884959086378</v>
      </c>
      <c r="AT108" s="13">
        <f t="shared" si="12"/>
        <v>0.00276887414915667</v>
      </c>
      <c r="AU108" s="13">
        <v>0.53</v>
      </c>
      <c r="AV108" s="13">
        <f t="shared" si="13"/>
        <v>0.209433962264151</v>
      </c>
      <c r="AW108" s="13">
        <v>0.031606</v>
      </c>
      <c r="AX108" s="13">
        <v>0.011073</v>
      </c>
      <c r="AY108" s="13">
        <v>1.0785</v>
      </c>
      <c r="AZ108" s="13">
        <v>2.5884</v>
      </c>
      <c r="BA108" s="13">
        <v>0.0593221746674437</v>
      </c>
      <c r="BB108" s="13">
        <v>0.618299288205623</v>
      </c>
      <c r="BC108" s="13">
        <v>-0.023154</v>
      </c>
    </row>
    <row r="109" spans="1:55">
      <c r="A109" s="8" t="s">
        <v>401</v>
      </c>
      <c r="B109" s="8" t="s">
        <v>402</v>
      </c>
      <c r="C109" s="8" t="s">
        <v>82</v>
      </c>
      <c r="D109" s="9">
        <v>90759</v>
      </c>
      <c r="E109" s="8" t="s">
        <v>132</v>
      </c>
      <c r="F109" s="8" t="s">
        <v>222</v>
      </c>
      <c r="G109" s="10">
        <v>26924432341.88</v>
      </c>
      <c r="H109" s="10">
        <v>5</v>
      </c>
      <c r="I109" s="9">
        <v>613082105</v>
      </c>
      <c r="J109" s="9">
        <v>952941177</v>
      </c>
      <c r="K109" s="11">
        <v>82.1811</v>
      </c>
      <c r="L109" s="12">
        <v>44635</v>
      </c>
      <c r="M109" s="12">
        <v>38660</v>
      </c>
      <c r="N109" s="9">
        <f t="shared" si="7"/>
        <v>5975</v>
      </c>
      <c r="O109" s="13">
        <v>23.4329</v>
      </c>
      <c r="P109" s="13">
        <v>7.69</v>
      </c>
      <c r="Q109" s="13"/>
      <c r="R109" s="8"/>
      <c r="S109" s="13">
        <v>135424</v>
      </c>
      <c r="T109" s="13">
        <v>0.1</v>
      </c>
      <c r="U109" s="13">
        <v>49.6151</v>
      </c>
      <c r="V109" s="13">
        <f t="shared" si="8"/>
        <v>0.0020155154378405</v>
      </c>
      <c r="W109" s="13">
        <v>0.19</v>
      </c>
      <c r="X109" s="13">
        <f t="shared" si="9"/>
        <v>0.526315789473684</v>
      </c>
      <c r="Y109" s="13">
        <v>0.017069</v>
      </c>
      <c r="Z109" s="13">
        <v>0.004353</v>
      </c>
      <c r="AA109" s="13">
        <v>1.6143</v>
      </c>
      <c r="AB109" s="13">
        <v>1.8357</v>
      </c>
      <c r="AC109" s="13">
        <v>0.0237</v>
      </c>
      <c r="AD109" s="13">
        <v>0.7229</v>
      </c>
      <c r="AE109" s="13">
        <v>0.781295</v>
      </c>
      <c r="AF109" s="13">
        <v>0</v>
      </c>
      <c r="AG109" s="13">
        <v>41.4056913493022</v>
      </c>
      <c r="AH109" s="13">
        <f t="shared" si="10"/>
        <v>0</v>
      </c>
      <c r="AI109" s="13">
        <v>1.59</v>
      </c>
      <c r="AJ109" s="13">
        <f t="shared" si="11"/>
        <v>0</v>
      </c>
      <c r="AK109" s="13">
        <v>0.128603</v>
      </c>
      <c r="AL109" s="13">
        <v>0.049734</v>
      </c>
      <c r="AM109" s="13">
        <v>1.4933</v>
      </c>
      <c r="AN109" s="13">
        <v>1.6903</v>
      </c>
      <c r="AO109" s="13">
        <v>0.0529936078700939</v>
      </c>
      <c r="AP109" s="13">
        <v>1.36569854747875</v>
      </c>
      <c r="AQ109" s="13">
        <v>0.149218</v>
      </c>
      <c r="AR109" s="13">
        <v>0.18</v>
      </c>
      <c r="AS109" s="13">
        <v>36.3676649653964</v>
      </c>
      <c r="AT109" s="13">
        <f t="shared" si="12"/>
        <v>0.0049494516673333</v>
      </c>
      <c r="AU109" s="13">
        <v>0.56</v>
      </c>
      <c r="AV109" s="13">
        <f t="shared" si="13"/>
        <v>0.321428571428571</v>
      </c>
      <c r="AW109" s="13">
        <v>0.051786</v>
      </c>
      <c r="AX109" s="13">
        <v>0.027684</v>
      </c>
      <c r="AY109" s="13">
        <v>1.1461</v>
      </c>
      <c r="AZ109" s="13">
        <v>1.4879</v>
      </c>
      <c r="BA109" s="13">
        <v>0.0496194656853468</v>
      </c>
      <c r="BB109" s="13">
        <v>1.32161698666712</v>
      </c>
      <c r="BC109" s="13">
        <v>-0.079723</v>
      </c>
    </row>
    <row r="110" spans="1:55">
      <c r="A110" s="8" t="s">
        <v>403</v>
      </c>
      <c r="B110" s="8" t="s">
        <v>404</v>
      </c>
      <c r="C110" s="8" t="s">
        <v>77</v>
      </c>
      <c r="D110" s="9">
        <v>1303</v>
      </c>
      <c r="E110" s="8" t="s">
        <v>132</v>
      </c>
      <c r="F110" s="8" t="s">
        <v>222</v>
      </c>
      <c r="G110" s="10">
        <v>5648049605.19</v>
      </c>
      <c r="H110" s="10">
        <v>1</v>
      </c>
      <c r="I110" s="9">
        <v>197982777</v>
      </c>
      <c r="J110" s="9">
        <v>545437608</v>
      </c>
      <c r="K110" s="11">
        <v>100</v>
      </c>
      <c r="L110" s="12">
        <v>44771</v>
      </c>
      <c r="M110" s="12">
        <v>39959</v>
      </c>
      <c r="N110" s="9">
        <f t="shared" si="7"/>
        <v>4812</v>
      </c>
      <c r="O110" s="13">
        <v>21.12</v>
      </c>
      <c r="P110" s="13">
        <v>14.92</v>
      </c>
      <c r="Q110" s="13">
        <v>12.78</v>
      </c>
      <c r="R110" s="8"/>
      <c r="S110" s="13">
        <v>48790</v>
      </c>
      <c r="T110" s="13">
        <v>0.15</v>
      </c>
      <c r="U110" s="13">
        <v>106.0917</v>
      </c>
      <c r="V110" s="13">
        <f t="shared" si="8"/>
        <v>0.00141387120764395</v>
      </c>
      <c r="W110" s="13">
        <v>0.2</v>
      </c>
      <c r="X110" s="13">
        <f t="shared" si="9"/>
        <v>0.75</v>
      </c>
      <c r="Y110" s="13">
        <v>0.022371</v>
      </c>
      <c r="Z110" s="13">
        <v>0.089564</v>
      </c>
      <c r="AA110" s="13">
        <v>0.219</v>
      </c>
      <c r="AB110" s="13">
        <v>1.1407</v>
      </c>
      <c r="AC110" s="13">
        <v>-0.0424</v>
      </c>
      <c r="AD110" s="13">
        <v>4.2362</v>
      </c>
      <c r="AE110" s="13">
        <v>0.20977</v>
      </c>
      <c r="AF110" s="13">
        <v>0.15</v>
      </c>
      <c r="AG110" s="13">
        <v>103.921785259944</v>
      </c>
      <c r="AH110" s="13">
        <f t="shared" si="10"/>
        <v>0.00144339321755105</v>
      </c>
      <c r="AI110" s="13">
        <v>0.39</v>
      </c>
      <c r="AJ110" s="13">
        <f t="shared" si="11"/>
        <v>0.384615384615385</v>
      </c>
      <c r="AK110" s="13">
        <v>0.065706</v>
      </c>
      <c r="AL110" s="13">
        <v>0.232449</v>
      </c>
      <c r="AM110" s="13">
        <v>0.2218</v>
      </c>
      <c r="AN110" s="13">
        <v>1.2746</v>
      </c>
      <c r="AO110" s="13">
        <v>0.558367304561562</v>
      </c>
      <c r="AP110" s="13">
        <v>8.35772779230359</v>
      </c>
      <c r="AQ110" s="13">
        <v>0.377625</v>
      </c>
      <c r="AR110" s="13">
        <v>0.15</v>
      </c>
      <c r="AS110" s="13">
        <v>110.125363514199</v>
      </c>
      <c r="AT110" s="13">
        <f t="shared" si="12"/>
        <v>0.00136208403961963</v>
      </c>
      <c r="AU110" s="13">
        <v>0.37</v>
      </c>
      <c r="AV110" s="13">
        <f t="shared" si="13"/>
        <v>0.405405405405405</v>
      </c>
      <c r="AW110" s="13">
        <v>0.042547</v>
      </c>
      <c r="AX110" s="13">
        <v>0.198656</v>
      </c>
      <c r="AY110" s="13">
        <v>0.1849</v>
      </c>
      <c r="AZ110" s="13">
        <v>1.1585</v>
      </c>
      <c r="BA110" s="13">
        <v>0.245958211032643</v>
      </c>
      <c r="BB110" s="13">
        <v>6.31169473283423</v>
      </c>
      <c r="BC110" s="13">
        <v>0.266072</v>
      </c>
    </row>
    <row r="111" spans="1:55">
      <c r="A111" s="8" t="s">
        <v>405</v>
      </c>
      <c r="B111" s="8" t="s">
        <v>406</v>
      </c>
      <c r="C111" s="8" t="s">
        <v>77</v>
      </c>
      <c r="D111" s="9">
        <v>3394</v>
      </c>
      <c r="E111" s="8" t="s">
        <v>136</v>
      </c>
      <c r="F111" s="8" t="s">
        <v>67</v>
      </c>
      <c r="G111" s="10">
        <v>117749854177.72</v>
      </c>
      <c r="H111" s="10">
        <v>8</v>
      </c>
      <c r="I111" s="9">
        <v>268268497</v>
      </c>
      <c r="J111" s="9">
        <v>2672091376</v>
      </c>
      <c r="K111" s="11">
        <v>21.933</v>
      </c>
      <c r="L111" s="12">
        <v>40417</v>
      </c>
      <c r="M111" s="12">
        <v>37615</v>
      </c>
      <c r="N111" s="9">
        <f t="shared" si="7"/>
        <v>2802</v>
      </c>
      <c r="O111" s="13">
        <v>78.66</v>
      </c>
      <c r="P111" s="13">
        <v>5.75</v>
      </c>
      <c r="Q111" s="13">
        <v>5.29</v>
      </c>
      <c r="R111" s="8" t="s">
        <v>407</v>
      </c>
      <c r="S111" s="13">
        <v>72426</v>
      </c>
      <c r="T111" s="13">
        <v>0.014</v>
      </c>
      <c r="U111" s="13">
        <v>61.1417</v>
      </c>
      <c r="V111" s="13">
        <f t="shared" si="8"/>
        <v>0.000228976296046724</v>
      </c>
      <c r="W111" s="13">
        <v>0.19</v>
      </c>
      <c r="X111" s="13">
        <f t="shared" si="9"/>
        <v>0.0736842105263158</v>
      </c>
      <c r="Y111" s="13">
        <v>0.045963</v>
      </c>
      <c r="Z111" s="13">
        <v>0.063745</v>
      </c>
      <c r="AA111" s="13">
        <v>0.4333</v>
      </c>
      <c r="AB111" s="13">
        <v>1.6812</v>
      </c>
      <c r="AC111" s="13">
        <v>-0.088</v>
      </c>
      <c r="AD111" s="13">
        <v>0.42</v>
      </c>
      <c r="AE111" s="13">
        <v>0.061084</v>
      </c>
      <c r="AF111" s="13">
        <v>0.03</v>
      </c>
      <c r="AG111" s="13">
        <v>11.7563514180486</v>
      </c>
      <c r="AH111" s="13">
        <f t="shared" si="10"/>
        <v>0.00255181211697563</v>
      </c>
      <c r="AI111" s="13">
        <v>0.33</v>
      </c>
      <c r="AJ111" s="13">
        <f t="shared" si="11"/>
        <v>0.0909090909090909</v>
      </c>
      <c r="AK111" s="13">
        <v>0.087141</v>
      </c>
      <c r="AL111" s="13">
        <v>0.103096</v>
      </c>
      <c r="AM111" s="13">
        <v>0.548</v>
      </c>
      <c r="AN111" s="13">
        <v>1.5706</v>
      </c>
      <c r="AO111" s="13">
        <v>0.0259857359159307</v>
      </c>
      <c r="AP111" s="13">
        <v>0.426892893481064</v>
      </c>
      <c r="AQ111" s="13">
        <v>-0.019457</v>
      </c>
      <c r="AR111" s="13"/>
      <c r="AS111" s="13">
        <v>50.1859898980911</v>
      </c>
      <c r="AT111" s="13">
        <f t="shared" si="12"/>
        <v>0</v>
      </c>
      <c r="AU111" s="13">
        <v>0.17</v>
      </c>
      <c r="AV111" s="13">
        <f t="shared" si="13"/>
        <v>0</v>
      </c>
      <c r="AW111" s="13">
        <v>0.041905</v>
      </c>
      <c r="AX111" s="13">
        <v>0.058943</v>
      </c>
      <c r="AY111" s="13">
        <v>0.4398</v>
      </c>
      <c r="AZ111" s="13">
        <v>1.6282</v>
      </c>
      <c r="BA111" s="13">
        <v>0.077589262598098</v>
      </c>
      <c r="BB111" s="13">
        <v>0.528997154680761</v>
      </c>
      <c r="BC111" s="13">
        <v>-0.119525</v>
      </c>
    </row>
    <row r="112" spans="1:55">
      <c r="A112" s="8" t="s">
        <v>408</v>
      </c>
      <c r="B112" s="8" t="s">
        <v>409</v>
      </c>
      <c r="C112" s="8" t="s">
        <v>89</v>
      </c>
      <c r="D112" s="9">
        <v>62314</v>
      </c>
      <c r="E112" s="8" t="s">
        <v>198</v>
      </c>
      <c r="F112" s="8" t="s">
        <v>59</v>
      </c>
      <c r="G112" s="10">
        <v>9892214000000</v>
      </c>
      <c r="H112" s="10">
        <v>0</v>
      </c>
      <c r="I112" s="9">
        <v>12436400717</v>
      </c>
      <c r="J112" s="9">
        <v>33305838300</v>
      </c>
      <c r="K112" s="11">
        <v>100</v>
      </c>
      <c r="L112" s="12">
        <v>36474</v>
      </c>
      <c r="M112" s="12">
        <v>33896</v>
      </c>
      <c r="N112" s="9">
        <f t="shared" si="7"/>
        <v>2578</v>
      </c>
      <c r="O112" s="13">
        <v>20.0017</v>
      </c>
      <c r="P112" s="13">
        <v>18.18</v>
      </c>
      <c r="Q112" s="13">
        <v>8.35</v>
      </c>
      <c r="R112" s="8"/>
      <c r="S112" s="13">
        <v>119099</v>
      </c>
      <c r="T112" s="13">
        <v>0.41</v>
      </c>
      <c r="U112" s="13">
        <v>8.5705</v>
      </c>
      <c r="V112" s="13">
        <f t="shared" si="8"/>
        <v>0.0478385158392159</v>
      </c>
      <c r="W112" s="13">
        <v>1.36</v>
      </c>
      <c r="X112" s="13">
        <f t="shared" si="9"/>
        <v>0.301470588235294</v>
      </c>
      <c r="Y112" s="13">
        <v>0.06195</v>
      </c>
      <c r="Z112" s="13">
        <v>0.268437</v>
      </c>
      <c r="AA112" s="13">
        <v>0.0185</v>
      </c>
      <c r="AB112" s="13">
        <v>12.6408</v>
      </c>
      <c r="AC112" s="13">
        <v>-1.9541</v>
      </c>
      <c r="AD112" s="13"/>
      <c r="AE112" s="13">
        <v>-0.015487</v>
      </c>
      <c r="AF112" s="13">
        <v>0.32</v>
      </c>
      <c r="AG112" s="13">
        <v>7.76403252120752</v>
      </c>
      <c r="AH112" s="13">
        <f t="shared" si="10"/>
        <v>0.0412156954682914</v>
      </c>
      <c r="AI112" s="13">
        <v>1.56</v>
      </c>
      <c r="AJ112" s="13">
        <f t="shared" si="11"/>
        <v>0.205128205128205</v>
      </c>
      <c r="AK112" s="13">
        <v>0.074818</v>
      </c>
      <c r="AL112" s="13">
        <v>0.275668</v>
      </c>
      <c r="AM112" s="13">
        <v>0.0224</v>
      </c>
      <c r="AN112" s="13">
        <v>12.3121</v>
      </c>
      <c r="AO112" s="13">
        <v>1.93561196467008</v>
      </c>
      <c r="AP112" s="13"/>
      <c r="AQ112" s="13">
        <v>-0.012357</v>
      </c>
      <c r="AR112" s="13">
        <v>0.321</v>
      </c>
      <c r="AS112" s="13">
        <v>7.24553770965068</v>
      </c>
      <c r="AT112" s="13">
        <f t="shared" si="12"/>
        <v>0.0443031301282781</v>
      </c>
      <c r="AU112" s="13">
        <v>1.07</v>
      </c>
      <c r="AV112" s="13">
        <f t="shared" si="13"/>
        <v>0.3</v>
      </c>
      <c r="AW112" s="13">
        <v>0.051598</v>
      </c>
      <c r="AX112" s="13">
        <v>0.215811</v>
      </c>
      <c r="AY112" s="13">
        <v>0.0196</v>
      </c>
      <c r="AZ112" s="13">
        <v>12.4502</v>
      </c>
      <c r="BA112" s="13">
        <v>2.23945131865724</v>
      </c>
      <c r="BB112" s="13"/>
      <c r="BC112" s="13">
        <v>-0.080521</v>
      </c>
    </row>
    <row r="113" spans="1:55">
      <c r="A113" s="8" t="s">
        <v>410</v>
      </c>
      <c r="B113" s="8" t="s">
        <v>411</v>
      </c>
      <c r="C113" s="8" t="s">
        <v>89</v>
      </c>
      <c r="D113" s="9">
        <v>13150</v>
      </c>
      <c r="E113" s="8" t="s">
        <v>198</v>
      </c>
      <c r="F113" s="8" t="s">
        <v>184</v>
      </c>
      <c r="G113" s="10">
        <v>69678818106.02</v>
      </c>
      <c r="H113" s="10">
        <v>0</v>
      </c>
      <c r="I113" s="9">
        <v>1027405144</v>
      </c>
      <c r="J113" s="9">
        <v>2488313040</v>
      </c>
      <c r="K113" s="11">
        <v>82.2356</v>
      </c>
      <c r="L113" s="12">
        <v>35844</v>
      </c>
      <c r="M113" s="12">
        <v>35837</v>
      </c>
      <c r="N113" s="9">
        <f t="shared" si="7"/>
        <v>7</v>
      </c>
      <c r="O113" s="13">
        <v>58.38</v>
      </c>
      <c r="P113" s="13">
        <v>3.42</v>
      </c>
      <c r="Q113" s="13">
        <v>2.32</v>
      </c>
      <c r="R113" s="8" t="s">
        <v>412</v>
      </c>
      <c r="S113" s="13">
        <v>181121</v>
      </c>
      <c r="T113" s="13">
        <v>0.3</v>
      </c>
      <c r="U113" s="13">
        <v>35.0928</v>
      </c>
      <c r="V113" s="13">
        <f t="shared" si="8"/>
        <v>0.00854876213924224</v>
      </c>
      <c r="W113" s="13">
        <v>0.78</v>
      </c>
      <c r="X113" s="13">
        <f t="shared" si="9"/>
        <v>0.384615384615385</v>
      </c>
      <c r="Y113" s="13">
        <v>0.047057</v>
      </c>
      <c r="Z113" s="13">
        <v>0.17989</v>
      </c>
      <c r="AA113" s="13">
        <v>0.1773</v>
      </c>
      <c r="AB113" s="13">
        <v>1.6975</v>
      </c>
      <c r="AC113" s="13">
        <v>0.4472</v>
      </c>
      <c r="AD113" s="13">
        <v>1.8217</v>
      </c>
      <c r="AE113" s="13">
        <v>0.119651</v>
      </c>
      <c r="AF113" s="13"/>
      <c r="AG113" s="13">
        <v>53.6522266197852</v>
      </c>
      <c r="AH113" s="13">
        <f t="shared" si="10"/>
        <v>0</v>
      </c>
      <c r="AI113" s="13">
        <v>-1.26</v>
      </c>
      <c r="AJ113" s="13">
        <f t="shared" si="11"/>
        <v>0</v>
      </c>
      <c r="AK113" s="13">
        <v>-0.089252</v>
      </c>
      <c r="AL113" s="13">
        <v>-0.50908</v>
      </c>
      <c r="AM113" s="13">
        <v>0.092</v>
      </c>
      <c r="AN113" s="13">
        <v>1.7761</v>
      </c>
      <c r="AO113" s="13">
        <v>-0.0213415703370915</v>
      </c>
      <c r="AP113" s="13">
        <v>1.57173431631229</v>
      </c>
      <c r="AQ113" s="13">
        <v>-0.327946</v>
      </c>
      <c r="AR113" s="13">
        <v>0.12</v>
      </c>
      <c r="AS113" s="13">
        <v>47.7652095051387</v>
      </c>
      <c r="AT113" s="13">
        <f t="shared" si="12"/>
        <v>0.00251228878179819</v>
      </c>
      <c r="AU113" s="13">
        <v>0.38</v>
      </c>
      <c r="AV113" s="13">
        <f t="shared" si="13"/>
        <v>0.315789473684211</v>
      </c>
      <c r="AW113" s="13">
        <v>0.023308</v>
      </c>
      <c r="AX113" s="13">
        <v>0.10764</v>
      </c>
      <c r="AY113" s="13">
        <v>0.161</v>
      </c>
      <c r="AZ113" s="13">
        <v>1.7125</v>
      </c>
      <c r="BA113" s="13">
        <v>0.363906999811354</v>
      </c>
      <c r="BB113" s="13">
        <v>1.55649045329678</v>
      </c>
      <c r="BC113" s="13">
        <v>1.015714</v>
      </c>
    </row>
    <row r="114" spans="1:55">
      <c r="A114" s="8" t="s">
        <v>413</v>
      </c>
      <c r="B114" s="8" t="s">
        <v>414</v>
      </c>
      <c r="C114" s="8" t="s">
        <v>89</v>
      </c>
      <c r="D114" s="9">
        <v>25259</v>
      </c>
      <c r="E114" s="8" t="s">
        <v>170</v>
      </c>
      <c r="F114" s="8" t="s">
        <v>67</v>
      </c>
      <c r="G114" s="10">
        <v>155473434685.94</v>
      </c>
      <c r="H114" s="10">
        <v>13</v>
      </c>
      <c r="I114" s="9">
        <v>19942743511</v>
      </c>
      <c r="J114" s="9">
        <v>45288619348</v>
      </c>
      <c r="K114" s="11">
        <v>69.2907</v>
      </c>
      <c r="L114" s="12">
        <v>36959</v>
      </c>
      <c r="M114" s="12">
        <v>36340</v>
      </c>
      <c r="N114" s="9">
        <f t="shared" si="7"/>
        <v>619</v>
      </c>
      <c r="O114" s="13">
        <v>55.38</v>
      </c>
      <c r="P114" s="13">
        <v>1.69</v>
      </c>
      <c r="Q114" s="13">
        <v>1.42</v>
      </c>
      <c r="R114" s="8" t="s">
        <v>415</v>
      </c>
      <c r="S114" s="13">
        <v>892830</v>
      </c>
      <c r="T114" s="13">
        <v>0.002</v>
      </c>
      <c r="U114" s="13">
        <v>1.7573</v>
      </c>
      <c r="V114" s="13">
        <f t="shared" si="8"/>
        <v>0.00113810959995448</v>
      </c>
      <c r="W114" s="13">
        <v>0.0058</v>
      </c>
      <c r="X114" s="13">
        <f t="shared" si="9"/>
        <v>0.344827586206897</v>
      </c>
      <c r="Y114" s="13">
        <v>0.005102</v>
      </c>
      <c r="Z114" s="13">
        <v>0.000305</v>
      </c>
      <c r="AA114" s="13">
        <v>0.4437</v>
      </c>
      <c r="AB114" s="13">
        <v>2.9586</v>
      </c>
      <c r="AC114" s="13">
        <v>0.0349</v>
      </c>
      <c r="AD114" s="13">
        <v>0.2147</v>
      </c>
      <c r="AE114" s="13">
        <v>-0.035087</v>
      </c>
      <c r="AF114" s="13"/>
      <c r="AG114" s="13">
        <v>2.25073214681302</v>
      </c>
      <c r="AH114" s="13">
        <f t="shared" si="10"/>
        <v>0</v>
      </c>
      <c r="AI114" s="13">
        <v>-0.0161</v>
      </c>
      <c r="AJ114" s="13">
        <f t="shared" si="11"/>
        <v>0</v>
      </c>
      <c r="AK114" s="13">
        <v>-0.013556</v>
      </c>
      <c r="AL114" s="13">
        <v>-0.020021</v>
      </c>
      <c r="AM114" s="13">
        <v>0.4898</v>
      </c>
      <c r="AN114" s="13">
        <v>2.7364</v>
      </c>
      <c r="AO114" s="13">
        <v>0.0286380392316276</v>
      </c>
      <c r="AP114" s="13">
        <v>0.188624114566816</v>
      </c>
      <c r="AQ114" s="13">
        <v>-0.162577</v>
      </c>
      <c r="AR114" s="13"/>
      <c r="AS114" s="13">
        <v>1.82179646448645</v>
      </c>
      <c r="AT114" s="13">
        <f t="shared" si="12"/>
        <v>0</v>
      </c>
      <c r="AU114" s="13">
        <v>0.0113</v>
      </c>
      <c r="AV114" s="13">
        <f t="shared" si="13"/>
        <v>0</v>
      </c>
      <c r="AW114" s="13">
        <v>0.009885</v>
      </c>
      <c r="AX114" s="13">
        <v>0.00042</v>
      </c>
      <c r="AY114" s="13">
        <v>0.4728</v>
      </c>
      <c r="AZ114" s="13">
        <v>2.8633</v>
      </c>
      <c r="BA114" s="13">
        <v>-0.0140101743301422</v>
      </c>
      <c r="BB114" s="13">
        <v>0.150675236749894</v>
      </c>
      <c r="BC114" s="13">
        <v>-0.022258</v>
      </c>
    </row>
    <row r="115" spans="1:55">
      <c r="A115" s="8" t="s">
        <v>416</v>
      </c>
      <c r="B115" s="8" t="s">
        <v>417</v>
      </c>
      <c r="C115" s="8" t="s">
        <v>77</v>
      </c>
      <c r="D115" s="9">
        <v>56263</v>
      </c>
      <c r="E115" s="8" t="s">
        <v>206</v>
      </c>
      <c r="F115" s="8" t="s">
        <v>307</v>
      </c>
      <c r="G115" s="10">
        <v>596198991252</v>
      </c>
      <c r="H115" s="10">
        <v>0</v>
      </c>
      <c r="I115" s="9">
        <v>4375923252</v>
      </c>
      <c r="J115" s="9">
        <v>15698093359</v>
      </c>
      <c r="K115" s="11">
        <v>70.0576</v>
      </c>
      <c r="L115" s="12">
        <v>37231</v>
      </c>
      <c r="M115" s="12">
        <v>34515</v>
      </c>
      <c r="N115" s="9">
        <f t="shared" si="7"/>
        <v>2716</v>
      </c>
      <c r="O115" s="13">
        <v>32.28</v>
      </c>
      <c r="P115" s="13">
        <v>26.78</v>
      </c>
      <c r="Q115" s="13">
        <v>9.91</v>
      </c>
      <c r="R115" s="8" t="s">
        <v>418</v>
      </c>
      <c r="S115" s="13">
        <v>94586</v>
      </c>
      <c r="T115" s="13">
        <v>0.27</v>
      </c>
      <c r="U115" s="13">
        <v>8.194</v>
      </c>
      <c r="V115" s="13">
        <f t="shared" si="8"/>
        <v>0.0329509397119844</v>
      </c>
      <c r="W115" s="13">
        <v>0.46</v>
      </c>
      <c r="X115" s="13">
        <f t="shared" si="9"/>
        <v>0.58695652173913</v>
      </c>
      <c r="Y115" s="13">
        <v>0.075202</v>
      </c>
      <c r="Z115" s="13">
        <v>0.057461</v>
      </c>
      <c r="AA115" s="13">
        <v>0.4354</v>
      </c>
      <c r="AB115" s="13">
        <v>4.1847</v>
      </c>
      <c r="AC115" s="13">
        <v>0.2058</v>
      </c>
      <c r="AD115" s="13">
        <v>0.1139</v>
      </c>
      <c r="AE115" s="13">
        <v>-0.034772</v>
      </c>
      <c r="AF115" s="13"/>
      <c r="AG115" s="13">
        <v>7.57969607264075</v>
      </c>
      <c r="AH115" s="13">
        <f t="shared" si="10"/>
        <v>0</v>
      </c>
      <c r="AI115" s="13">
        <v>-0.61</v>
      </c>
      <c r="AJ115" s="13">
        <f t="shared" si="11"/>
        <v>0</v>
      </c>
      <c r="AK115" s="13">
        <v>-0.069106</v>
      </c>
      <c r="AL115" s="13">
        <v>-0.040875</v>
      </c>
      <c r="AM115" s="13">
        <v>0.4971</v>
      </c>
      <c r="AN115" s="13">
        <v>4.6432</v>
      </c>
      <c r="AO115" s="13">
        <v>0.131804956523875</v>
      </c>
      <c r="AP115" s="13">
        <v>0.116543695011957</v>
      </c>
      <c r="AQ115" s="13">
        <v>0.203069</v>
      </c>
      <c r="AR115" s="13">
        <v>0.2</v>
      </c>
      <c r="AS115" s="13">
        <v>8.44105193181922</v>
      </c>
      <c r="AT115" s="13">
        <f t="shared" si="12"/>
        <v>0.0236937293616313</v>
      </c>
      <c r="AU115" s="13">
        <v>0.35</v>
      </c>
      <c r="AV115" s="13">
        <f t="shared" si="13"/>
        <v>0.571428571428572</v>
      </c>
      <c r="AW115" s="13">
        <v>0.070183</v>
      </c>
      <c r="AX115" s="13">
        <v>0.035702</v>
      </c>
      <c r="AY115" s="13">
        <v>0.4875</v>
      </c>
      <c r="AZ115" s="13">
        <v>4.3368</v>
      </c>
      <c r="BA115" s="13">
        <v>0.178843192655072</v>
      </c>
      <c r="BB115" s="13">
        <v>0.110758256796785</v>
      </c>
      <c r="BC115" s="13">
        <v>0.031095</v>
      </c>
    </row>
    <row r="116" spans="1:55">
      <c r="A116" s="8" t="s">
        <v>419</v>
      </c>
      <c r="B116" s="8" t="s">
        <v>420</v>
      </c>
      <c r="C116" s="8" t="s">
        <v>89</v>
      </c>
      <c r="D116" s="9">
        <v>38937</v>
      </c>
      <c r="E116" s="8" t="s">
        <v>132</v>
      </c>
      <c r="F116" s="8" t="s">
        <v>59</v>
      </c>
      <c r="G116" s="10">
        <v>4586358000000</v>
      </c>
      <c r="H116" s="10">
        <v>0</v>
      </c>
      <c r="I116" s="9">
        <v>5097834834</v>
      </c>
      <c r="J116" s="9">
        <v>15914928468</v>
      </c>
      <c r="K116" s="11">
        <v>96.6842</v>
      </c>
      <c r="L116" s="12">
        <v>37876</v>
      </c>
      <c r="M116" s="12">
        <v>33891</v>
      </c>
      <c r="N116" s="9">
        <f t="shared" si="7"/>
        <v>3985</v>
      </c>
      <c r="O116" s="13">
        <v>21.68</v>
      </c>
      <c r="P116" s="13">
        <v>19.33</v>
      </c>
      <c r="Q116" s="13">
        <v>16.11</v>
      </c>
      <c r="R116" s="8" t="s">
        <v>421</v>
      </c>
      <c r="S116" s="13">
        <v>94720</v>
      </c>
      <c r="T116" s="13">
        <v>0.305</v>
      </c>
      <c r="U116" s="13">
        <v>6.7335</v>
      </c>
      <c r="V116" s="13">
        <f t="shared" si="8"/>
        <v>0.0452959085171159</v>
      </c>
      <c r="W116" s="13">
        <v>1.62</v>
      </c>
      <c r="X116" s="13">
        <f t="shared" si="9"/>
        <v>0.188271604938272</v>
      </c>
      <c r="Y116" s="13">
        <v>0.081333</v>
      </c>
      <c r="Z116" s="13">
        <v>0.290244</v>
      </c>
      <c r="AA116" s="13">
        <v>0.0225</v>
      </c>
      <c r="AB116" s="13">
        <v>12.6826</v>
      </c>
      <c r="AC116" s="13">
        <v>0.4374</v>
      </c>
      <c r="AD116" s="13"/>
      <c r="AE116" s="13">
        <v>0.042261</v>
      </c>
      <c r="AF116" s="13">
        <v>0.383</v>
      </c>
      <c r="AG116" s="13">
        <v>5.3384820795138</v>
      </c>
      <c r="AH116" s="13">
        <f t="shared" si="10"/>
        <v>0.0717432398002695</v>
      </c>
      <c r="AI116" s="13">
        <v>1.43</v>
      </c>
      <c r="AJ116" s="13">
        <f t="shared" si="11"/>
        <v>0.267832167832168</v>
      </c>
      <c r="AK116" s="13">
        <v>0.080921</v>
      </c>
      <c r="AL116" s="13">
        <v>0.271725</v>
      </c>
      <c r="AM116" s="13">
        <v>0.0248</v>
      </c>
      <c r="AN116" s="13">
        <v>12.2448</v>
      </c>
      <c r="AO116" s="13">
        <v>0.841879157427938</v>
      </c>
      <c r="AP116" s="13"/>
      <c r="AQ116" s="13">
        <v>-0.021508</v>
      </c>
      <c r="AR116" s="13">
        <v>0.384</v>
      </c>
      <c r="AS116" s="13">
        <v>5.65824602115656</v>
      </c>
      <c r="AT116" s="13">
        <f t="shared" si="12"/>
        <v>0.0678655538419854</v>
      </c>
      <c r="AU116" s="13">
        <v>1.48</v>
      </c>
      <c r="AV116" s="13">
        <f t="shared" si="13"/>
        <v>0.259459459459459</v>
      </c>
      <c r="AW116" s="13">
        <v>0.082509</v>
      </c>
      <c r="AX116" s="13">
        <v>0.288015</v>
      </c>
      <c r="AY116" s="13">
        <v>0.0229</v>
      </c>
      <c r="AZ116" s="13">
        <v>12.7613</v>
      </c>
      <c r="BA116" s="13">
        <v>2.71628740330662</v>
      </c>
      <c r="BB116" s="13"/>
      <c r="BC116" s="13">
        <v>-0.006407</v>
      </c>
    </row>
    <row r="117" spans="1:55">
      <c r="A117" s="8" t="s">
        <v>422</v>
      </c>
      <c r="B117" s="8" t="s">
        <v>423</v>
      </c>
      <c r="C117" s="8" t="s">
        <v>57</v>
      </c>
      <c r="D117" s="9">
        <v>62044</v>
      </c>
      <c r="E117" s="8" t="s">
        <v>132</v>
      </c>
      <c r="F117" s="8" t="s">
        <v>59</v>
      </c>
      <c r="G117" s="10">
        <v>7872864000000</v>
      </c>
      <c r="H117" s="10">
        <v>0</v>
      </c>
      <c r="I117" s="9">
        <v>24314512049</v>
      </c>
      <c r="J117" s="9">
        <v>43782418502</v>
      </c>
      <c r="K117" s="11">
        <v>80.9963</v>
      </c>
      <c r="L117" s="12">
        <v>36879</v>
      </c>
      <c r="M117" s="12">
        <v>35102</v>
      </c>
      <c r="N117" s="9">
        <f t="shared" si="7"/>
        <v>1777</v>
      </c>
      <c r="O117" s="13">
        <v>18.93</v>
      </c>
      <c r="P117" s="13">
        <v>10.3</v>
      </c>
      <c r="Q117" s="13">
        <v>6.49</v>
      </c>
      <c r="R117" s="8" t="s">
        <v>424</v>
      </c>
      <c r="S117" s="13">
        <v>319388</v>
      </c>
      <c r="T117" s="13">
        <v>0.062</v>
      </c>
      <c r="U117" s="13">
        <v>3.8667</v>
      </c>
      <c r="V117" s="13">
        <f t="shared" si="8"/>
        <v>0.0160343445315127</v>
      </c>
      <c r="W117" s="13">
        <v>0.64</v>
      </c>
      <c r="X117" s="13">
        <f t="shared" si="9"/>
        <v>0.096875</v>
      </c>
      <c r="Y117" s="13">
        <v>0.050962</v>
      </c>
      <c r="Z117" s="13">
        <v>0.240091</v>
      </c>
      <c r="AA117" s="13">
        <v>0.0176</v>
      </c>
      <c r="AB117" s="13">
        <v>12.2212</v>
      </c>
      <c r="AC117" s="13">
        <v>-1.6996</v>
      </c>
      <c r="AD117" s="13"/>
      <c r="AE117" s="13">
        <v>-0.032148</v>
      </c>
      <c r="AF117" s="13">
        <v>0.214</v>
      </c>
      <c r="AG117" s="13">
        <v>3.70440517345472</v>
      </c>
      <c r="AH117" s="13">
        <f t="shared" si="10"/>
        <v>0.0577690587232455</v>
      </c>
      <c r="AI117" s="13">
        <v>0.71</v>
      </c>
      <c r="AJ117" s="13">
        <f t="shared" si="11"/>
        <v>0.301408450704225</v>
      </c>
      <c r="AK117" s="13">
        <v>0.060073</v>
      </c>
      <c r="AL117" s="13">
        <v>0.251109</v>
      </c>
      <c r="AM117" s="13">
        <v>0.0201</v>
      </c>
      <c r="AN117" s="13">
        <v>12.1005</v>
      </c>
      <c r="AO117" s="13">
        <v>1.16702462169067</v>
      </c>
      <c r="AP117" s="13"/>
      <c r="AQ117" s="13">
        <v>-0.155968</v>
      </c>
      <c r="AR117" s="13">
        <v>0.216</v>
      </c>
      <c r="AS117" s="13">
        <v>3.84453550434676</v>
      </c>
      <c r="AT117" s="13">
        <f t="shared" si="12"/>
        <v>0.056183640326844</v>
      </c>
      <c r="AU117" s="13">
        <v>0.72</v>
      </c>
      <c r="AV117" s="13">
        <f t="shared" si="13"/>
        <v>0.3</v>
      </c>
      <c r="AW117" s="13">
        <v>0.058509</v>
      </c>
      <c r="AX117" s="13">
        <v>0.255552</v>
      </c>
      <c r="AY117" s="13">
        <v>0.0189</v>
      </c>
      <c r="AZ117" s="13">
        <v>12.193</v>
      </c>
      <c r="BA117" s="13">
        <v>0.523203874532194</v>
      </c>
      <c r="BB117" s="13"/>
      <c r="BC117" s="13">
        <v>-0.011644</v>
      </c>
    </row>
    <row r="118" spans="1:55">
      <c r="A118" s="8" t="s">
        <v>425</v>
      </c>
      <c r="B118" s="8" t="s">
        <v>426</v>
      </c>
      <c r="C118" s="8" t="s">
        <v>89</v>
      </c>
      <c r="D118" s="9">
        <v>13016</v>
      </c>
      <c r="E118" s="8" t="s">
        <v>198</v>
      </c>
      <c r="F118" s="8" t="s">
        <v>184</v>
      </c>
      <c r="G118" s="10">
        <v>220945706789.22</v>
      </c>
      <c r="H118" s="10">
        <v>0</v>
      </c>
      <c r="I118" s="9">
        <v>2821105195</v>
      </c>
      <c r="J118" s="9">
        <v>23281365262</v>
      </c>
      <c r="K118" s="11">
        <v>99.8512</v>
      </c>
      <c r="L118" s="12">
        <v>39016</v>
      </c>
      <c r="M118" s="12">
        <v>32437</v>
      </c>
      <c r="N118" s="9">
        <f t="shared" si="7"/>
        <v>6579</v>
      </c>
      <c r="O118" s="13">
        <v>28.31</v>
      </c>
      <c r="P118" s="13">
        <v>28.05</v>
      </c>
      <c r="Q118" s="13">
        <v>15.55</v>
      </c>
      <c r="R118" s="8" t="s">
        <v>427</v>
      </c>
      <c r="S118" s="13">
        <v>149475</v>
      </c>
      <c r="T118" s="13">
        <v>0.145</v>
      </c>
      <c r="U118" s="13">
        <v>5.8294</v>
      </c>
      <c r="V118" s="13">
        <f t="shared" si="8"/>
        <v>0.024873914982674</v>
      </c>
      <c r="W118" s="13">
        <v>0.644</v>
      </c>
      <c r="X118" s="13">
        <f t="shared" si="9"/>
        <v>0.225155279503106</v>
      </c>
      <c r="Y118" s="13">
        <v>0.116611</v>
      </c>
      <c r="Z118" s="13">
        <v>0.421434</v>
      </c>
      <c r="AA118" s="13">
        <v>0.1834</v>
      </c>
      <c r="AB118" s="13">
        <v>1.6205</v>
      </c>
      <c r="AC118" s="13">
        <v>0.2419</v>
      </c>
      <c r="AD118" s="13">
        <v>1.4262</v>
      </c>
      <c r="AE118" s="13">
        <v>0.015057</v>
      </c>
      <c r="AF118" s="13">
        <v>0.14</v>
      </c>
      <c r="AG118" s="13">
        <v>5.78243772878081</v>
      </c>
      <c r="AH118" s="13">
        <f t="shared" si="10"/>
        <v>0.0242112421381005</v>
      </c>
      <c r="AI118" s="13">
        <v>0.7423</v>
      </c>
      <c r="AJ118" s="13">
        <f t="shared" si="11"/>
        <v>0.188602990704567</v>
      </c>
      <c r="AK118" s="13">
        <v>0.162399</v>
      </c>
      <c r="AL118" s="13">
        <v>0.480424</v>
      </c>
      <c r="AM118" s="13">
        <v>0.2115</v>
      </c>
      <c r="AN118" s="13">
        <v>1.6622</v>
      </c>
      <c r="AO118" s="13">
        <v>0.369999019557602</v>
      </c>
      <c r="AP118" s="13">
        <v>1.04136100017585</v>
      </c>
      <c r="AQ118" s="13">
        <v>0.087233</v>
      </c>
      <c r="AR118" s="13">
        <v>0.172</v>
      </c>
      <c r="AS118" s="13">
        <v>5.31505757002937</v>
      </c>
      <c r="AT118" s="13">
        <f t="shared" si="12"/>
        <v>0.032360891247891</v>
      </c>
      <c r="AU118" s="13">
        <v>0.5691</v>
      </c>
      <c r="AV118" s="13">
        <f t="shared" si="13"/>
        <v>0.302231593744509</v>
      </c>
      <c r="AW118" s="13">
        <v>0.112127</v>
      </c>
      <c r="AX118" s="13">
        <v>0.373028</v>
      </c>
      <c r="AY118" s="13">
        <v>0.1949</v>
      </c>
      <c r="AZ118" s="13">
        <v>1.6364</v>
      </c>
      <c r="BA118" s="13">
        <v>0.357231011761527</v>
      </c>
      <c r="BB118" s="13">
        <v>1.56683208962619</v>
      </c>
      <c r="BC118" s="13">
        <v>0.00729</v>
      </c>
    </row>
    <row r="119" spans="1:55">
      <c r="A119" s="8" t="s">
        <v>428</v>
      </c>
      <c r="B119" s="8" t="s">
        <v>429</v>
      </c>
      <c r="C119" s="8" t="s">
        <v>77</v>
      </c>
      <c r="D119" s="9">
        <v>46048</v>
      </c>
      <c r="E119" s="8" t="s">
        <v>198</v>
      </c>
      <c r="F119" s="8" t="s">
        <v>67</v>
      </c>
      <c r="G119" s="10">
        <v>376262777054.35</v>
      </c>
      <c r="H119" s="10">
        <v>0</v>
      </c>
      <c r="I119" s="9">
        <v>7986516922</v>
      </c>
      <c r="J119" s="9">
        <v>21782084749</v>
      </c>
      <c r="K119" s="11">
        <v>100</v>
      </c>
      <c r="L119" s="12">
        <v>36872</v>
      </c>
      <c r="M119" s="12">
        <v>36559</v>
      </c>
      <c r="N119" s="9">
        <f t="shared" si="7"/>
        <v>313</v>
      </c>
      <c r="O119" s="13">
        <v>44.2</v>
      </c>
      <c r="P119" s="13">
        <v>13.69</v>
      </c>
      <c r="Q119" s="13">
        <v>5.44</v>
      </c>
      <c r="R119" s="8" t="s">
        <v>430</v>
      </c>
      <c r="S119" s="13">
        <v>224908</v>
      </c>
      <c r="T119" s="13">
        <v>0.1</v>
      </c>
      <c r="U119" s="13">
        <v>6.6074</v>
      </c>
      <c r="V119" s="13">
        <f t="shared" si="8"/>
        <v>0.015134546114962</v>
      </c>
      <c r="W119" s="13">
        <v>0.34</v>
      </c>
      <c r="X119" s="13">
        <f t="shared" si="9"/>
        <v>0.294117647058824</v>
      </c>
      <c r="Y119" s="13">
        <v>0.036729</v>
      </c>
      <c r="Z119" s="13">
        <v>0.026598</v>
      </c>
      <c r="AA119" s="13">
        <v>0.8695</v>
      </c>
      <c r="AB119" s="13">
        <v>1.8483</v>
      </c>
      <c r="AC119" s="13">
        <v>0.0861</v>
      </c>
      <c r="AD119" s="13">
        <v>0.2991</v>
      </c>
      <c r="AE119" s="13">
        <v>-0.065974</v>
      </c>
      <c r="AF119" s="13">
        <v>0.1</v>
      </c>
      <c r="AG119" s="13">
        <v>6.35911017506253</v>
      </c>
      <c r="AH119" s="13">
        <f t="shared" si="10"/>
        <v>0.0157254705842578</v>
      </c>
      <c r="AI119" s="13">
        <v>0.55</v>
      </c>
      <c r="AJ119" s="13">
        <f t="shared" si="11"/>
        <v>0.181818181818182</v>
      </c>
      <c r="AK119" s="13">
        <v>0.063217</v>
      </c>
      <c r="AL119" s="13">
        <v>0.038013</v>
      </c>
      <c r="AM119" s="13">
        <v>0.9479</v>
      </c>
      <c r="AN119" s="13">
        <v>2.0195</v>
      </c>
      <c r="AO119" s="13">
        <v>0.121170592078996</v>
      </c>
      <c r="AP119" s="13">
        <v>0.259464102952748</v>
      </c>
      <c r="AQ119" s="13">
        <v>0.01017</v>
      </c>
      <c r="AR119" s="13">
        <v>0.2</v>
      </c>
      <c r="AS119" s="13">
        <v>6.24864260070314</v>
      </c>
      <c r="AT119" s="13">
        <f t="shared" si="12"/>
        <v>0.0320069513941307</v>
      </c>
      <c r="AU119" s="13">
        <v>0.54</v>
      </c>
      <c r="AV119" s="13">
        <f t="shared" si="13"/>
        <v>0.37037037037037</v>
      </c>
      <c r="AW119" s="13">
        <v>0.060484</v>
      </c>
      <c r="AX119" s="13">
        <v>0.039844</v>
      </c>
      <c r="AY119" s="13">
        <v>0.8908</v>
      </c>
      <c r="AZ119" s="13">
        <v>1.9605</v>
      </c>
      <c r="BA119" s="13">
        <v>0.0733676140344221</v>
      </c>
      <c r="BB119" s="13">
        <v>0.307653020379622</v>
      </c>
      <c r="BC119" s="13">
        <v>-0.065545</v>
      </c>
    </row>
    <row r="120" spans="1:55">
      <c r="A120" s="8" t="s">
        <v>431</v>
      </c>
      <c r="B120" s="8" t="s">
        <v>432</v>
      </c>
      <c r="C120" s="8" t="s">
        <v>89</v>
      </c>
      <c r="D120" s="9">
        <v>13277</v>
      </c>
      <c r="E120" s="8" t="s">
        <v>165</v>
      </c>
      <c r="F120" s="8" t="s">
        <v>307</v>
      </c>
      <c r="G120" s="10">
        <v>159182400407.73</v>
      </c>
      <c r="H120" s="10">
        <v>0</v>
      </c>
      <c r="I120" s="9">
        <v>3595565748</v>
      </c>
      <c r="J120" s="9">
        <v>13408732749</v>
      </c>
      <c r="K120" s="11">
        <v>100</v>
      </c>
      <c r="L120" s="12">
        <v>41627</v>
      </c>
      <c r="M120" s="12">
        <v>33677</v>
      </c>
      <c r="N120" s="9">
        <f t="shared" si="7"/>
        <v>7950</v>
      </c>
      <c r="O120" s="13">
        <v>69.45</v>
      </c>
      <c r="P120" s="13">
        <v>4.27</v>
      </c>
      <c r="Q120" s="13">
        <v>3.73</v>
      </c>
      <c r="R120" s="8" t="s">
        <v>433</v>
      </c>
      <c r="S120" s="13">
        <v>155022</v>
      </c>
      <c r="T120" s="13">
        <v>0.29</v>
      </c>
      <c r="U120" s="13">
        <v>6.1058</v>
      </c>
      <c r="V120" s="13">
        <f t="shared" si="8"/>
        <v>0.0474958236430934</v>
      </c>
      <c r="W120" s="13">
        <v>0.58</v>
      </c>
      <c r="X120" s="13">
        <f t="shared" si="9"/>
        <v>0.5</v>
      </c>
      <c r="Y120" s="13">
        <v>0.110196</v>
      </c>
      <c r="Z120" s="13">
        <v>0.101039</v>
      </c>
      <c r="AA120" s="13">
        <v>0.5841</v>
      </c>
      <c r="AB120" s="13">
        <v>2.1413</v>
      </c>
      <c r="AC120" s="13">
        <v>0.1558</v>
      </c>
      <c r="AD120" s="13">
        <v>0.489</v>
      </c>
      <c r="AE120" s="13">
        <v>-0.083065</v>
      </c>
      <c r="AF120" s="13"/>
      <c r="AG120" s="13">
        <v>3.54810968544294</v>
      </c>
      <c r="AH120" s="13">
        <f t="shared" si="10"/>
        <v>0</v>
      </c>
      <c r="AI120" s="13">
        <v>-0.14</v>
      </c>
      <c r="AJ120" s="13">
        <f t="shared" si="11"/>
        <v>0</v>
      </c>
      <c r="AK120" s="13">
        <v>-0.029239</v>
      </c>
      <c r="AL120" s="13">
        <v>-0.044955</v>
      </c>
      <c r="AM120" s="13">
        <v>0.678</v>
      </c>
      <c r="AN120" s="13">
        <v>1.8912</v>
      </c>
      <c r="AO120" s="13">
        <v>0.0027940917609284</v>
      </c>
      <c r="AP120" s="13">
        <v>0.532015946210157</v>
      </c>
      <c r="AQ120" s="13">
        <v>0.128297</v>
      </c>
      <c r="AR120" s="13">
        <v>0.25</v>
      </c>
      <c r="AS120" s="13">
        <v>4.49740240069973</v>
      </c>
      <c r="AT120" s="13">
        <f t="shared" si="12"/>
        <v>0.0555876432051318</v>
      </c>
      <c r="AU120" s="13">
        <v>0.49</v>
      </c>
      <c r="AV120" s="13">
        <f t="shared" si="13"/>
        <v>0.510204081632653</v>
      </c>
      <c r="AW120" s="13">
        <v>0.101382</v>
      </c>
      <c r="AX120" s="13">
        <v>0.082343</v>
      </c>
      <c r="AY120" s="13">
        <v>0.7158</v>
      </c>
      <c r="AZ120" s="13">
        <v>2.0849</v>
      </c>
      <c r="BA120" s="13">
        <v>0.119586010406039</v>
      </c>
      <c r="BB120" s="13">
        <v>0.630125169803911</v>
      </c>
      <c r="BC120" s="13">
        <v>0.196779</v>
      </c>
    </row>
    <row r="121" spans="1:55">
      <c r="A121" s="8" t="s">
        <v>434</v>
      </c>
      <c r="B121" s="8" t="s">
        <v>435</v>
      </c>
      <c r="C121" s="8" t="s">
        <v>77</v>
      </c>
      <c r="D121" s="9">
        <v>5161</v>
      </c>
      <c r="E121" s="8" t="s">
        <v>100</v>
      </c>
      <c r="F121" s="8" t="s">
        <v>307</v>
      </c>
      <c r="G121" s="10">
        <v>225177623040.64</v>
      </c>
      <c r="H121" s="10">
        <v>0</v>
      </c>
      <c r="I121" s="9">
        <v>1800000000</v>
      </c>
      <c r="J121" s="9">
        <v>18631094257</v>
      </c>
      <c r="K121" s="11">
        <v>96.6127</v>
      </c>
      <c r="L121" s="12">
        <v>43084</v>
      </c>
      <c r="M121" s="12">
        <v>36930</v>
      </c>
      <c r="N121" s="9">
        <f t="shared" si="7"/>
        <v>6154</v>
      </c>
      <c r="O121" s="13">
        <v>48.69</v>
      </c>
      <c r="P121" s="13">
        <v>21.94</v>
      </c>
      <c r="Q121" s="13">
        <v>11.74</v>
      </c>
      <c r="R121" s="8" t="s">
        <v>436</v>
      </c>
      <c r="S121" s="13">
        <v>98595</v>
      </c>
      <c r="T121" s="13">
        <v>0.2</v>
      </c>
      <c r="U121" s="13">
        <v>10.0877</v>
      </c>
      <c r="V121" s="13">
        <f t="shared" si="8"/>
        <v>0.0198261248847607</v>
      </c>
      <c r="W121" s="13">
        <v>0.44</v>
      </c>
      <c r="X121" s="13">
        <f t="shared" si="9"/>
        <v>0.454545454545455</v>
      </c>
      <c r="Y121" s="13">
        <v>0.117747</v>
      </c>
      <c r="Z121" s="13">
        <v>0.358165</v>
      </c>
      <c r="AA121" s="13">
        <v>0.1214</v>
      </c>
      <c r="AB121" s="13">
        <v>2.9082</v>
      </c>
      <c r="AC121" s="13">
        <v>0.7055</v>
      </c>
      <c r="AD121" s="13">
        <v>0.0724</v>
      </c>
      <c r="AE121" s="13">
        <v>0.060537</v>
      </c>
      <c r="AF121" s="13">
        <v>0.175</v>
      </c>
      <c r="AG121" s="13">
        <v>6.67508212121348</v>
      </c>
      <c r="AH121" s="13">
        <f t="shared" si="10"/>
        <v>0.0262169059229771</v>
      </c>
      <c r="AI121" s="13">
        <v>0.35</v>
      </c>
      <c r="AJ121" s="13">
        <f t="shared" si="11"/>
        <v>0.5</v>
      </c>
      <c r="AK121" s="13">
        <v>0.102966</v>
      </c>
      <c r="AL121" s="13">
        <v>0.344161</v>
      </c>
      <c r="AM121" s="13">
        <v>0.1307</v>
      </c>
      <c r="AN121" s="13">
        <v>2.449</v>
      </c>
      <c r="AO121" s="13">
        <v>0.786035893413011</v>
      </c>
      <c r="AP121" s="13">
        <v>0.0868088626047989</v>
      </c>
      <c r="AQ121" s="13">
        <v>0.046535</v>
      </c>
      <c r="AR121" s="13">
        <v>0.18</v>
      </c>
      <c r="AS121" s="13">
        <v>7.42624577175144</v>
      </c>
      <c r="AT121" s="13">
        <f t="shared" si="12"/>
        <v>0.0242383575136577</v>
      </c>
      <c r="AU121" s="13">
        <v>0.4</v>
      </c>
      <c r="AV121" s="13">
        <f t="shared" si="13"/>
        <v>0.45</v>
      </c>
      <c r="AW121" s="13">
        <v>0.113096</v>
      </c>
      <c r="AX121" s="13">
        <v>0.351351</v>
      </c>
      <c r="AY121" s="13">
        <v>0.131</v>
      </c>
      <c r="AZ121" s="13">
        <v>2.6513</v>
      </c>
      <c r="BA121" s="13">
        <v>0.727263551343941</v>
      </c>
      <c r="BB121" s="13">
        <v>0.0607381188516742</v>
      </c>
      <c r="BC121" s="13">
        <v>-0.005075</v>
      </c>
    </row>
    <row r="122" spans="1:55">
      <c r="A122" s="8" t="s">
        <v>437</v>
      </c>
      <c r="B122" s="8" t="s">
        <v>438</v>
      </c>
      <c r="C122" s="8" t="s">
        <v>77</v>
      </c>
      <c r="D122" s="9">
        <v>7854</v>
      </c>
      <c r="E122" s="8" t="s">
        <v>198</v>
      </c>
      <c r="F122" s="8" t="s">
        <v>184</v>
      </c>
      <c r="G122" s="10">
        <v>82044451268.19</v>
      </c>
      <c r="H122" s="10">
        <v>1</v>
      </c>
      <c r="I122" s="9">
        <v>1258704041</v>
      </c>
      <c r="J122" s="9">
        <v>5465220839</v>
      </c>
      <c r="K122" s="11">
        <v>63.5798</v>
      </c>
      <c r="L122" s="12">
        <v>37399</v>
      </c>
      <c r="M122" s="12">
        <v>35272</v>
      </c>
      <c r="N122" s="9">
        <f t="shared" si="7"/>
        <v>2127</v>
      </c>
      <c r="O122" s="13">
        <v>28.12</v>
      </c>
      <c r="P122" s="13">
        <v>23.5881</v>
      </c>
      <c r="Q122" s="13">
        <v>18.78</v>
      </c>
      <c r="R122" s="8"/>
      <c r="S122" s="13">
        <v>82447</v>
      </c>
      <c r="T122" s="13">
        <v>0.21</v>
      </c>
      <c r="U122" s="13">
        <v>14.3886</v>
      </c>
      <c r="V122" s="13">
        <f t="shared" si="8"/>
        <v>0.0145948876193653</v>
      </c>
      <c r="W122" s="13">
        <v>0.8461</v>
      </c>
      <c r="X122" s="13">
        <f t="shared" si="9"/>
        <v>0.248197612575346</v>
      </c>
      <c r="Y122" s="13">
        <v>0.114905</v>
      </c>
      <c r="Z122" s="13">
        <v>0.188651</v>
      </c>
      <c r="AA122" s="13">
        <v>0.3036</v>
      </c>
      <c r="AB122" s="13">
        <v>2.1795</v>
      </c>
      <c r="AC122" s="13">
        <v>0.3711</v>
      </c>
      <c r="AD122" s="13">
        <v>0.561</v>
      </c>
      <c r="AE122" s="13">
        <v>0.022464</v>
      </c>
      <c r="AF122" s="13">
        <v>0.15</v>
      </c>
      <c r="AG122" s="13">
        <v>12.4462635342457</v>
      </c>
      <c r="AH122" s="13">
        <f t="shared" si="10"/>
        <v>0.0120518097328791</v>
      </c>
      <c r="AI122" s="13">
        <v>0.3057</v>
      </c>
      <c r="AJ122" s="13">
        <f t="shared" si="11"/>
        <v>0.490677134445535</v>
      </c>
      <c r="AK122" s="13">
        <v>0.048447</v>
      </c>
      <c r="AL122" s="13">
        <v>0.09566</v>
      </c>
      <c r="AM122" s="13">
        <v>0.2924</v>
      </c>
      <c r="AN122" s="13">
        <v>2.1216</v>
      </c>
      <c r="AO122" s="13">
        <v>0.225694336740281</v>
      </c>
      <c r="AP122" s="13">
        <v>0.400910617564825</v>
      </c>
      <c r="AQ122" s="13">
        <v>0.469276</v>
      </c>
      <c r="AR122" s="13">
        <v>0.35</v>
      </c>
      <c r="AS122" s="13">
        <v>13.5219483396231</v>
      </c>
      <c r="AT122" s="13">
        <f t="shared" si="12"/>
        <v>0.0258838438965487</v>
      </c>
      <c r="AU122" s="13">
        <v>0.7023</v>
      </c>
      <c r="AV122" s="13">
        <f t="shared" si="13"/>
        <v>0.49836252313826</v>
      </c>
      <c r="AW122" s="13">
        <v>0.101591</v>
      </c>
      <c r="AX122" s="13">
        <v>0.165669</v>
      </c>
      <c r="AY122" s="13">
        <v>0.3148</v>
      </c>
      <c r="AZ122" s="13">
        <v>2.1275</v>
      </c>
      <c r="BA122" s="13">
        <v>0.399363896795257</v>
      </c>
      <c r="BB122" s="13">
        <v>0.649264869086905</v>
      </c>
      <c r="BC122" s="13">
        <v>0.18398</v>
      </c>
    </row>
    <row r="123" spans="1:55">
      <c r="A123" s="8" t="s">
        <v>439</v>
      </c>
      <c r="B123" s="8" t="s">
        <v>440</v>
      </c>
      <c r="C123" s="8" t="s">
        <v>77</v>
      </c>
      <c r="D123" s="9">
        <v>25093</v>
      </c>
      <c r="E123" s="8" t="s">
        <v>90</v>
      </c>
      <c r="F123" s="8" t="s">
        <v>307</v>
      </c>
      <c r="G123" s="10">
        <v>260506398000</v>
      </c>
      <c r="H123" s="10">
        <v>0</v>
      </c>
      <c r="I123" s="9">
        <v>3285498863</v>
      </c>
      <c r="J123" s="9">
        <v>11611774184</v>
      </c>
      <c r="K123" s="11">
        <v>73.2905</v>
      </c>
      <c r="L123" s="12">
        <v>38386</v>
      </c>
      <c r="M123" s="12">
        <v>34513</v>
      </c>
      <c r="N123" s="9">
        <f t="shared" si="7"/>
        <v>3873</v>
      </c>
      <c r="O123" s="13">
        <v>45.63</v>
      </c>
      <c r="P123" s="13">
        <v>15.51</v>
      </c>
      <c r="Q123" s="13">
        <v>6.3</v>
      </c>
      <c r="R123" s="8" t="s">
        <v>441</v>
      </c>
      <c r="S123" s="13">
        <v>137272</v>
      </c>
      <c r="T123" s="13">
        <v>0.13</v>
      </c>
      <c r="U123" s="13">
        <v>6.0989</v>
      </c>
      <c r="V123" s="13">
        <f t="shared" si="8"/>
        <v>0.0213153191559134</v>
      </c>
      <c r="W123" s="13">
        <v>0.46</v>
      </c>
      <c r="X123" s="13">
        <f t="shared" si="9"/>
        <v>0.282608695652174</v>
      </c>
      <c r="Y123" s="13">
        <v>0.083195</v>
      </c>
      <c r="Z123" s="13">
        <v>0.060495</v>
      </c>
      <c r="AA123" s="13">
        <v>0.5057</v>
      </c>
      <c r="AB123" s="13">
        <v>3.26</v>
      </c>
      <c r="AC123" s="13">
        <v>0.1446</v>
      </c>
      <c r="AD123" s="13">
        <v>0.0903</v>
      </c>
      <c r="AE123" s="13">
        <v>-0.035691</v>
      </c>
      <c r="AF123" s="13">
        <v>0.2</v>
      </c>
      <c r="AG123" s="13">
        <v>4.84651588840311</v>
      </c>
      <c r="AH123" s="13">
        <f t="shared" si="10"/>
        <v>0.0412667583487276</v>
      </c>
      <c r="AI123" s="13">
        <v>-0.08</v>
      </c>
      <c r="AJ123" s="13">
        <f t="shared" si="11"/>
        <v>-2.5</v>
      </c>
      <c r="AK123" s="13">
        <v>0.001645</v>
      </c>
      <c r="AL123" s="13">
        <v>-0.00596</v>
      </c>
      <c r="AM123" s="13">
        <v>0.4843</v>
      </c>
      <c r="AN123" s="13">
        <v>3.6436</v>
      </c>
      <c r="AO123" s="13">
        <v>0.0901796191197683</v>
      </c>
      <c r="AP123" s="13">
        <v>0.100053651971627</v>
      </c>
      <c r="AQ123" s="13">
        <v>0.02343</v>
      </c>
      <c r="AR123" s="13">
        <v>0.15</v>
      </c>
      <c r="AS123" s="13">
        <v>5.83420790799302</v>
      </c>
      <c r="AT123" s="13">
        <f t="shared" si="12"/>
        <v>0.0257104310243205</v>
      </c>
      <c r="AU123" s="13">
        <v>0.35</v>
      </c>
      <c r="AV123" s="13">
        <f t="shared" si="13"/>
        <v>0.428571428571429</v>
      </c>
      <c r="AW123" s="13">
        <v>0.069964</v>
      </c>
      <c r="AX123" s="13">
        <v>0.041032</v>
      </c>
      <c r="AY123" s="13">
        <v>0.5251</v>
      </c>
      <c r="AZ123" s="13">
        <v>3.4524</v>
      </c>
      <c r="BA123" s="13">
        <v>0.113091689966706</v>
      </c>
      <c r="BB123" s="13">
        <v>0.0865529506484891</v>
      </c>
      <c r="BC123" s="13">
        <v>0.094505</v>
      </c>
    </row>
    <row r="124" spans="1:55">
      <c r="A124" s="8" t="s">
        <v>442</v>
      </c>
      <c r="B124" s="8" t="s">
        <v>443</v>
      </c>
      <c r="C124" s="8" t="s">
        <v>77</v>
      </c>
      <c r="D124" s="9">
        <v>355952</v>
      </c>
      <c r="E124" s="8" t="s">
        <v>132</v>
      </c>
      <c r="F124" s="8" t="s">
        <v>171</v>
      </c>
      <c r="G124" s="10">
        <v>2181557000000</v>
      </c>
      <c r="H124" s="10">
        <v>0</v>
      </c>
      <c r="I124" s="9">
        <v>14028451847</v>
      </c>
      <c r="J124" s="9">
        <v>121088264222</v>
      </c>
      <c r="K124" s="11">
        <v>78.2508</v>
      </c>
      <c r="L124" s="12">
        <v>37111</v>
      </c>
      <c r="M124" s="12">
        <v>36581</v>
      </c>
      <c r="N124" s="9">
        <f t="shared" si="7"/>
        <v>530</v>
      </c>
      <c r="O124" s="13">
        <v>68.589</v>
      </c>
      <c r="P124" s="13">
        <v>19.65</v>
      </c>
      <c r="Q124" s="13"/>
      <c r="R124" s="8"/>
      <c r="S124" s="13">
        <v>454592</v>
      </c>
      <c r="T124" s="13">
        <v>0.14</v>
      </c>
      <c r="U124" s="13">
        <v>6.3571</v>
      </c>
      <c r="V124" s="13">
        <f t="shared" si="8"/>
        <v>0.022022620377216</v>
      </c>
      <c r="W124" s="13">
        <v>0.415</v>
      </c>
      <c r="X124" s="13">
        <f t="shared" si="9"/>
        <v>0.337349397590361</v>
      </c>
      <c r="Y124" s="13">
        <v>0.061896</v>
      </c>
      <c r="Z124" s="13">
        <v>0.018717</v>
      </c>
      <c r="AA124" s="13">
        <v>1.4956</v>
      </c>
      <c r="AB124" s="13">
        <v>2.529</v>
      </c>
      <c r="AC124" s="13">
        <v>0.0486</v>
      </c>
      <c r="AD124" s="13">
        <v>0.2181</v>
      </c>
      <c r="AE124" s="13">
        <v>-0.042853</v>
      </c>
      <c r="AF124" s="13">
        <v>0.195</v>
      </c>
      <c r="AG124" s="13">
        <v>4.29458929629297</v>
      </c>
      <c r="AH124" s="13">
        <f t="shared" si="10"/>
        <v>0.0454059716882174</v>
      </c>
      <c r="AI124" s="13">
        <v>0.548</v>
      </c>
      <c r="AJ124" s="13">
        <f t="shared" si="11"/>
        <v>0.355839416058394</v>
      </c>
      <c r="AK124" s="13">
        <v>0.084966</v>
      </c>
      <c r="AL124" s="13">
        <v>0.022831</v>
      </c>
      <c r="AM124" s="13">
        <v>1.7292</v>
      </c>
      <c r="AN124" s="13">
        <v>2.4591</v>
      </c>
      <c r="AO124" s="13">
        <v>0.0350401185232333</v>
      </c>
      <c r="AP124" s="13">
        <v>0.217346808813503</v>
      </c>
      <c r="AQ124" s="13">
        <v>0.21062</v>
      </c>
      <c r="AR124" s="13">
        <v>0.2</v>
      </c>
      <c r="AS124" s="13">
        <v>5.8016407533501</v>
      </c>
      <c r="AT124" s="13">
        <f t="shared" si="12"/>
        <v>0.0344730066032634</v>
      </c>
      <c r="AU124" s="13">
        <v>0.505</v>
      </c>
      <c r="AV124" s="13">
        <f t="shared" si="13"/>
        <v>0.396039603960396</v>
      </c>
      <c r="AW124" s="13">
        <v>0.075989</v>
      </c>
      <c r="AX124" s="13">
        <v>0.021806</v>
      </c>
      <c r="AY124" s="13">
        <v>1.6161</v>
      </c>
      <c r="AZ124" s="13">
        <v>2.498</v>
      </c>
      <c r="BA124" s="13">
        <v>0.0502690511064795</v>
      </c>
      <c r="BB124" s="13">
        <v>0.25493605078847</v>
      </c>
      <c r="BC124" s="13">
        <v>-0.031931</v>
      </c>
    </row>
    <row r="125" spans="1:55">
      <c r="A125" s="8" t="s">
        <v>444</v>
      </c>
      <c r="B125" s="8" t="s">
        <v>445</v>
      </c>
      <c r="C125" s="8" t="s">
        <v>77</v>
      </c>
      <c r="D125" s="9">
        <v>102597</v>
      </c>
      <c r="E125" s="8" t="s">
        <v>58</v>
      </c>
      <c r="F125" s="8" t="s">
        <v>184</v>
      </c>
      <c r="G125" s="10">
        <v>340579000000</v>
      </c>
      <c r="H125" s="10">
        <v>0</v>
      </c>
      <c r="I125" s="9">
        <v>4072455467</v>
      </c>
      <c r="J125" s="9">
        <v>18120921711</v>
      </c>
      <c r="K125" s="11">
        <v>74.3722</v>
      </c>
      <c r="L125" s="12">
        <v>37827</v>
      </c>
      <c r="M125" s="12">
        <v>34783</v>
      </c>
      <c r="N125" s="9">
        <f t="shared" si="7"/>
        <v>3044</v>
      </c>
      <c r="O125" s="13">
        <v>51.9</v>
      </c>
      <c r="P125" s="13">
        <v>14.41</v>
      </c>
      <c r="Q125" s="13">
        <v>9.66</v>
      </c>
      <c r="R125" s="8" t="s">
        <v>446</v>
      </c>
      <c r="S125" s="13">
        <v>133294</v>
      </c>
      <c r="T125" s="13"/>
      <c r="U125" s="13">
        <v>6.0412</v>
      </c>
      <c r="V125" s="13">
        <f t="shared" si="8"/>
        <v>0</v>
      </c>
      <c r="W125" s="13">
        <v>-0.09</v>
      </c>
      <c r="X125" s="13">
        <f t="shared" si="9"/>
        <v>0</v>
      </c>
      <c r="Y125" s="13">
        <v>-0.047432</v>
      </c>
      <c r="Z125" s="13">
        <v>0.000884</v>
      </c>
      <c r="AA125" s="13">
        <v>0.5453</v>
      </c>
      <c r="AB125" s="13">
        <v>8.9349</v>
      </c>
      <c r="AC125" s="13">
        <v>0.1805</v>
      </c>
      <c r="AD125" s="13">
        <v>0.135</v>
      </c>
      <c r="AE125" s="13">
        <v>0.089383</v>
      </c>
      <c r="AF125" s="13"/>
      <c r="AG125" s="13">
        <v>6.85824826671525</v>
      </c>
      <c r="AH125" s="13">
        <f t="shared" si="10"/>
        <v>0</v>
      </c>
      <c r="AI125" s="13">
        <v>-1.9</v>
      </c>
      <c r="AJ125" s="13">
        <f t="shared" si="11"/>
        <v>0</v>
      </c>
      <c r="AK125" s="13">
        <v>-0.601474</v>
      </c>
      <c r="AL125" s="13">
        <v>-0.387071</v>
      </c>
      <c r="AM125" s="13">
        <v>0.2742</v>
      </c>
      <c r="AN125" s="13">
        <v>5.8427</v>
      </c>
      <c r="AO125" s="13">
        <v>0.0398005949987939</v>
      </c>
      <c r="AP125" s="13">
        <v>0.143081338630548</v>
      </c>
      <c r="AQ125" s="13">
        <v>-0.143491</v>
      </c>
      <c r="AR125" s="13"/>
      <c r="AS125" s="13">
        <v>6.82527943731592</v>
      </c>
      <c r="AT125" s="13">
        <f t="shared" si="12"/>
        <v>0</v>
      </c>
      <c r="AU125" s="13">
        <v>-0.23</v>
      </c>
      <c r="AV125" s="13">
        <f t="shared" si="13"/>
        <v>0</v>
      </c>
      <c r="AW125" s="13">
        <v>-0.108144</v>
      </c>
      <c r="AX125" s="13">
        <v>-0.019271</v>
      </c>
      <c r="AY125" s="13">
        <v>0.5149</v>
      </c>
      <c r="AZ125" s="13">
        <v>7.9807</v>
      </c>
      <c r="BA125" s="13">
        <v>0.250948858555984</v>
      </c>
      <c r="BB125" s="13">
        <v>0.101076980129176</v>
      </c>
      <c r="BC125" s="13">
        <v>0.837019</v>
      </c>
    </row>
    <row r="126" spans="1:55">
      <c r="A126" s="8" t="s">
        <v>447</v>
      </c>
      <c r="B126" s="8" t="s">
        <v>448</v>
      </c>
      <c r="C126" s="8" t="s">
        <v>77</v>
      </c>
      <c r="D126" s="9">
        <v>26083</v>
      </c>
      <c r="E126" s="8" t="s">
        <v>58</v>
      </c>
      <c r="F126" s="8" t="s">
        <v>59</v>
      </c>
      <c r="G126" s="10">
        <v>2026309578991.81</v>
      </c>
      <c r="H126" s="10">
        <v>16</v>
      </c>
      <c r="I126" s="9">
        <v>8973944126</v>
      </c>
      <c r="J126" s="9">
        <v>14820546829</v>
      </c>
      <c r="K126" s="11">
        <v>82.1599</v>
      </c>
      <c r="L126" s="12">
        <v>37627</v>
      </c>
      <c r="M126" s="12">
        <v>34997</v>
      </c>
      <c r="N126" s="9">
        <f t="shared" si="7"/>
        <v>2630</v>
      </c>
      <c r="O126" s="13">
        <v>18.45</v>
      </c>
      <c r="P126" s="13">
        <v>14.74</v>
      </c>
      <c r="Q126" s="13">
        <v>4.23</v>
      </c>
      <c r="R126" s="8" t="s">
        <v>449</v>
      </c>
      <c r="S126" s="13">
        <v>669311</v>
      </c>
      <c r="T126" s="13">
        <v>0.28</v>
      </c>
      <c r="U126" s="13">
        <v>25.1495</v>
      </c>
      <c r="V126" s="13">
        <f t="shared" si="8"/>
        <v>0.0111334221356289</v>
      </c>
      <c r="W126" s="13">
        <v>1.41</v>
      </c>
      <c r="X126" s="13">
        <f t="shared" si="9"/>
        <v>0.198581560283688</v>
      </c>
      <c r="Y126" s="13">
        <v>0.077244</v>
      </c>
      <c r="Z126" s="13">
        <v>0.354127</v>
      </c>
      <c r="AA126" s="13">
        <v>0.0403</v>
      </c>
      <c r="AB126" s="13">
        <v>5.6305</v>
      </c>
      <c r="AC126" s="13">
        <v>2.7052</v>
      </c>
      <c r="AD126" s="13"/>
      <c r="AE126" s="13">
        <v>0.06195</v>
      </c>
      <c r="AF126" s="13">
        <v>0.49</v>
      </c>
      <c r="AG126" s="13">
        <v>20.7616461029722</v>
      </c>
      <c r="AH126" s="13">
        <f t="shared" si="10"/>
        <v>0.0236012114631822</v>
      </c>
      <c r="AI126" s="13">
        <v>1.42</v>
      </c>
      <c r="AJ126" s="13">
        <f t="shared" si="11"/>
        <v>0.345070422535211</v>
      </c>
      <c r="AK126" s="13">
        <v>0.092225</v>
      </c>
      <c r="AL126" s="13">
        <v>0.34049</v>
      </c>
      <c r="AM126" s="13">
        <v>0.0503</v>
      </c>
      <c r="AN126" s="13">
        <v>5.596</v>
      </c>
      <c r="AO126" s="13">
        <v>1.20602842530784</v>
      </c>
      <c r="AP126" s="13"/>
      <c r="AQ126" s="13">
        <v>-0.149172</v>
      </c>
      <c r="AR126" s="13">
        <v>0.475</v>
      </c>
      <c r="AS126" s="13">
        <v>22.0092847221321</v>
      </c>
      <c r="AT126" s="13">
        <f t="shared" si="12"/>
        <v>0.02158180086254</v>
      </c>
      <c r="AU126" s="13">
        <v>1.3</v>
      </c>
      <c r="AV126" s="13">
        <f t="shared" si="13"/>
        <v>0.365384615384615</v>
      </c>
      <c r="AW126" s="13">
        <v>0.075564</v>
      </c>
      <c r="AX126" s="13">
        <v>0.341935</v>
      </c>
      <c r="AY126" s="13">
        <v>0.0435</v>
      </c>
      <c r="AZ126" s="13">
        <v>5.2909</v>
      </c>
      <c r="BA126" s="13">
        <v>-0.679845585292638</v>
      </c>
      <c r="BB126" s="13"/>
      <c r="BC126" s="13">
        <v>-0.077417</v>
      </c>
    </row>
    <row r="127" spans="1:55">
      <c r="A127" s="8" t="s">
        <v>450</v>
      </c>
      <c r="B127" s="8" t="s">
        <v>451</v>
      </c>
      <c r="C127" s="8" t="s">
        <v>82</v>
      </c>
      <c r="D127" s="9">
        <v>25363</v>
      </c>
      <c r="E127" s="8" t="s">
        <v>132</v>
      </c>
      <c r="F127" s="8" t="s">
        <v>67</v>
      </c>
      <c r="G127" s="10">
        <v>156896818000</v>
      </c>
      <c r="H127" s="10">
        <v>0</v>
      </c>
      <c r="I127" s="9">
        <v>5758461263</v>
      </c>
      <c r="J127" s="9">
        <v>9195004437</v>
      </c>
      <c r="K127" s="11">
        <v>92.163</v>
      </c>
      <c r="L127" s="12">
        <v>37805</v>
      </c>
      <c r="M127" s="12">
        <v>34660</v>
      </c>
      <c r="N127" s="9">
        <f t="shared" si="7"/>
        <v>3145</v>
      </c>
      <c r="O127" s="13">
        <v>29.27</v>
      </c>
      <c r="P127" s="13">
        <v>12.87</v>
      </c>
      <c r="Q127" s="13">
        <v>2.78</v>
      </c>
      <c r="R127" s="8" t="s">
        <v>452</v>
      </c>
      <c r="S127" s="13">
        <v>452943</v>
      </c>
      <c r="T127" s="13">
        <v>0.36</v>
      </c>
      <c r="U127" s="13">
        <v>16.1429</v>
      </c>
      <c r="V127" s="13">
        <f t="shared" si="8"/>
        <v>0.0223008257500201</v>
      </c>
      <c r="W127" s="13">
        <v>0.7061</v>
      </c>
      <c r="X127" s="13">
        <f t="shared" si="9"/>
        <v>0.509842798470472</v>
      </c>
      <c r="Y127" s="13">
        <v>0.085368</v>
      </c>
      <c r="Z127" s="13">
        <v>0.077727</v>
      </c>
      <c r="AA127" s="13">
        <v>0.5168</v>
      </c>
      <c r="AB127" s="13">
        <v>2.1669</v>
      </c>
      <c r="AC127" s="13">
        <v>0.1905</v>
      </c>
      <c r="AD127" s="13">
        <v>0.5001</v>
      </c>
      <c r="AE127" s="13">
        <v>0.058964</v>
      </c>
      <c r="AF127" s="13">
        <v>0.16</v>
      </c>
      <c r="AG127" s="13">
        <v>17.8977408887118</v>
      </c>
      <c r="AH127" s="13">
        <f t="shared" si="10"/>
        <v>0.00893967573868012</v>
      </c>
      <c r="AI127" s="13">
        <v>0.5055</v>
      </c>
      <c r="AJ127" s="13">
        <f t="shared" si="11"/>
        <v>0.316518298714144</v>
      </c>
      <c r="AK127" s="13">
        <v>0.066422</v>
      </c>
      <c r="AL127" s="13">
        <v>0.054497</v>
      </c>
      <c r="AM127" s="13">
        <v>0.5437</v>
      </c>
      <c r="AN127" s="13">
        <v>2.3109</v>
      </c>
      <c r="AO127" s="13">
        <v>0.0507133732785795</v>
      </c>
      <c r="AP127" s="13">
        <v>0.543372023861188</v>
      </c>
      <c r="AQ127" s="13">
        <v>-0.243758</v>
      </c>
      <c r="AR127" s="13">
        <v>0.22</v>
      </c>
      <c r="AS127" s="13">
        <v>16.4793640348078</v>
      </c>
      <c r="AT127" s="13">
        <f t="shared" si="12"/>
        <v>0.0133500297423684</v>
      </c>
      <c r="AU127" s="13">
        <v>0.5347</v>
      </c>
      <c r="AV127" s="13">
        <f t="shared" si="13"/>
        <v>0.411445670469422</v>
      </c>
      <c r="AW127" s="13">
        <v>0.06808</v>
      </c>
      <c r="AX127" s="13">
        <v>0.062229</v>
      </c>
      <c r="AY127" s="13">
        <v>0.4776</v>
      </c>
      <c r="AZ127" s="13">
        <v>2.3304</v>
      </c>
      <c r="BA127" s="13">
        <v>0.0771183741414494</v>
      </c>
      <c r="BB127" s="13">
        <v>0.537108920736937</v>
      </c>
      <c r="BC127" s="13">
        <v>-0.084361</v>
      </c>
    </row>
    <row r="128" spans="1:55">
      <c r="A128" s="8" t="s">
        <v>453</v>
      </c>
      <c r="B128" s="8" t="s">
        <v>454</v>
      </c>
      <c r="C128" s="8" t="s">
        <v>57</v>
      </c>
      <c r="D128" s="9">
        <v>118068</v>
      </c>
      <c r="E128" s="8" t="s">
        <v>58</v>
      </c>
      <c r="F128" s="8" t="s">
        <v>59</v>
      </c>
      <c r="G128" s="10">
        <v>12644075000000</v>
      </c>
      <c r="H128" s="10">
        <v>0</v>
      </c>
      <c r="I128" s="9">
        <v>11718361832</v>
      </c>
      <c r="J128" s="9">
        <v>25219845601</v>
      </c>
      <c r="K128" s="11">
        <v>81.7965</v>
      </c>
      <c r="L128" s="12">
        <v>37355</v>
      </c>
      <c r="M128" s="12">
        <v>31867</v>
      </c>
      <c r="N128" s="9">
        <f t="shared" si="7"/>
        <v>5488</v>
      </c>
      <c r="O128" s="13">
        <v>18.06</v>
      </c>
      <c r="P128" s="13">
        <v>13.04</v>
      </c>
      <c r="Q128" s="13">
        <v>6.24</v>
      </c>
      <c r="R128" s="8" t="s">
        <v>455</v>
      </c>
      <c r="S128" s="13">
        <v>471874</v>
      </c>
      <c r="T128" s="13">
        <v>2</v>
      </c>
      <c r="U128" s="13">
        <v>34.2324</v>
      </c>
      <c r="V128" s="13">
        <f t="shared" si="8"/>
        <v>0.0584241829378016</v>
      </c>
      <c r="W128" s="13">
        <v>5.66</v>
      </c>
      <c r="X128" s="13">
        <f t="shared" si="9"/>
        <v>0.353356890459364</v>
      </c>
      <c r="Y128" s="13">
        <v>0.128902</v>
      </c>
      <c r="Z128" s="13">
        <v>0.443154</v>
      </c>
      <c r="AA128" s="13">
        <v>0.0291</v>
      </c>
      <c r="AB128" s="13">
        <v>10.0681</v>
      </c>
      <c r="AC128" s="13">
        <v>1.3246</v>
      </c>
      <c r="AD128" s="13"/>
      <c r="AE128" s="13">
        <v>-0.004821</v>
      </c>
      <c r="AF128" s="13">
        <v>1.738</v>
      </c>
      <c r="AG128" s="13">
        <v>38.5200213548736</v>
      </c>
      <c r="AH128" s="13">
        <f t="shared" si="10"/>
        <v>0.0451193934704324</v>
      </c>
      <c r="AI128" s="13">
        <v>5.26</v>
      </c>
      <c r="AJ128" s="13">
        <f t="shared" si="11"/>
        <v>0.33041825095057</v>
      </c>
      <c r="AK128" s="13">
        <v>0.152986</v>
      </c>
      <c r="AL128" s="13">
        <v>0.404005</v>
      </c>
      <c r="AM128" s="13">
        <v>0.0356</v>
      </c>
      <c r="AN128" s="13">
        <v>10.7457</v>
      </c>
      <c r="AO128" s="13">
        <v>1.65362851416688</v>
      </c>
      <c r="AP128" s="13"/>
      <c r="AQ128" s="13">
        <v>0.040845</v>
      </c>
      <c r="AR128" s="13">
        <v>1.972</v>
      </c>
      <c r="AS128" s="13">
        <v>33.5699531311602</v>
      </c>
      <c r="AT128" s="13">
        <f t="shared" si="12"/>
        <v>0.058743007245058</v>
      </c>
      <c r="AU128" s="13">
        <v>5.63</v>
      </c>
      <c r="AV128" s="13">
        <f t="shared" si="13"/>
        <v>0.350266429840142</v>
      </c>
      <c r="AW128" s="13">
        <v>0.145016</v>
      </c>
      <c r="AX128" s="13">
        <v>0.436438</v>
      </c>
      <c r="AY128" s="13">
        <v>0.032</v>
      </c>
      <c r="AZ128" s="13">
        <v>10.4692</v>
      </c>
      <c r="BA128" s="13">
        <v>1.05493581974682</v>
      </c>
      <c r="BB128" s="13"/>
      <c r="BC128" s="13">
        <v>-0.016416</v>
      </c>
    </row>
    <row r="129" spans="1:55">
      <c r="A129" s="8" t="s">
        <v>456</v>
      </c>
      <c r="B129" s="8" t="s">
        <v>457</v>
      </c>
      <c r="C129" s="8" t="s">
        <v>89</v>
      </c>
      <c r="D129" s="9">
        <v>18474</v>
      </c>
      <c r="E129" s="8" t="s">
        <v>104</v>
      </c>
      <c r="F129" s="8" t="s">
        <v>458</v>
      </c>
      <c r="G129" s="10">
        <v>254943860185.48</v>
      </c>
      <c r="H129" s="10">
        <v>0</v>
      </c>
      <c r="I129" s="9">
        <v>1006406523</v>
      </c>
      <c r="J129" s="9">
        <v>8695590645</v>
      </c>
      <c r="K129" s="11">
        <v>99.9734</v>
      </c>
      <c r="L129" s="12">
        <v>37705</v>
      </c>
      <c r="M129" s="12">
        <v>36522</v>
      </c>
      <c r="N129" s="9">
        <f t="shared" si="7"/>
        <v>1183</v>
      </c>
      <c r="O129" s="13">
        <v>54.9289</v>
      </c>
      <c r="P129" s="13">
        <v>10.75</v>
      </c>
      <c r="Q129" s="13">
        <v>7.44</v>
      </c>
      <c r="R129" s="8"/>
      <c r="S129" s="13">
        <v>60504</v>
      </c>
      <c r="T129" s="13">
        <v>0.377</v>
      </c>
      <c r="U129" s="13">
        <v>7.55</v>
      </c>
      <c r="V129" s="13">
        <f t="shared" si="8"/>
        <v>0.0499337748344371</v>
      </c>
      <c r="W129" s="13">
        <v>0.83</v>
      </c>
      <c r="X129" s="13">
        <f t="shared" si="9"/>
        <v>0.45421686746988</v>
      </c>
      <c r="Y129" s="13">
        <v>0.155112</v>
      </c>
      <c r="Z129" s="13">
        <v>0.068675</v>
      </c>
      <c r="AA129" s="13">
        <v>0.4462</v>
      </c>
      <c r="AB129" s="13">
        <v>5.1707</v>
      </c>
      <c r="AC129" s="13">
        <v>0.032</v>
      </c>
      <c r="AD129" s="13">
        <v>0.1604</v>
      </c>
      <c r="AE129" s="13">
        <v>-0.067831</v>
      </c>
      <c r="AF129" s="13">
        <v>0.91</v>
      </c>
      <c r="AG129" s="13">
        <v>10.8473552533157</v>
      </c>
      <c r="AH129" s="13">
        <f t="shared" si="10"/>
        <v>0.0838914167323727</v>
      </c>
      <c r="AI129" s="13">
        <v>1.81</v>
      </c>
      <c r="AJ129" s="13">
        <f t="shared" si="11"/>
        <v>0.502762430939227</v>
      </c>
      <c r="AK129" s="13">
        <v>0.325278</v>
      </c>
      <c r="AL129" s="13">
        <v>0.084097</v>
      </c>
      <c r="AM129" s="13">
        <v>0.7827</v>
      </c>
      <c r="AN129" s="13">
        <v>5.009</v>
      </c>
      <c r="AO129" s="13">
        <v>0.0990650489135907</v>
      </c>
      <c r="AP129" s="13">
        <v>0.29695397666865</v>
      </c>
      <c r="AQ129" s="13">
        <v>0.317861</v>
      </c>
      <c r="AR129" s="13">
        <v>0.517</v>
      </c>
      <c r="AS129" s="13">
        <v>10.1584273133306</v>
      </c>
      <c r="AT129" s="13">
        <f t="shared" si="12"/>
        <v>0.0508937047097395</v>
      </c>
      <c r="AU129" s="13">
        <v>1.04</v>
      </c>
      <c r="AV129" s="13">
        <f t="shared" si="13"/>
        <v>0.497115384615385</v>
      </c>
      <c r="AW129" s="13">
        <v>0.207174</v>
      </c>
      <c r="AX129" s="13">
        <v>0.078558</v>
      </c>
      <c r="AY129" s="13">
        <v>0.5122</v>
      </c>
      <c r="AZ129" s="13">
        <v>5.1681</v>
      </c>
      <c r="BA129" s="13">
        <v>-0.0184108595097145</v>
      </c>
      <c r="BB129" s="13">
        <v>0.176404966158817</v>
      </c>
      <c r="BC129" s="13">
        <v>-0.148794</v>
      </c>
    </row>
    <row r="130" spans="1:55">
      <c r="A130" s="8" t="s">
        <v>459</v>
      </c>
      <c r="B130" s="8" t="s">
        <v>460</v>
      </c>
      <c r="C130" s="8" t="s">
        <v>77</v>
      </c>
      <c r="D130" s="9">
        <v>49790</v>
      </c>
      <c r="E130" s="8" t="s">
        <v>58</v>
      </c>
      <c r="F130" s="8" t="s">
        <v>63</v>
      </c>
      <c r="G130" s="10">
        <v>1287392749339.24</v>
      </c>
      <c r="H130" s="10">
        <v>0</v>
      </c>
      <c r="I130" s="9">
        <v>7095500956</v>
      </c>
      <c r="J130" s="9">
        <v>11970443418</v>
      </c>
      <c r="K130" s="11">
        <v>100</v>
      </c>
      <c r="L130" s="12">
        <v>38929</v>
      </c>
      <c r="M130" s="12">
        <v>33861</v>
      </c>
      <c r="N130" s="9">
        <f t="shared" ref="N130:N193" si="14">L130-M130</f>
        <v>5068</v>
      </c>
      <c r="O130" s="13">
        <v>40.72</v>
      </c>
      <c r="P130" s="13"/>
      <c r="Q130" s="13"/>
      <c r="R130" s="8"/>
      <c r="S130" s="13">
        <v>247737</v>
      </c>
      <c r="T130" s="13">
        <v>0.17</v>
      </c>
      <c r="U130" s="13">
        <v>9.5974</v>
      </c>
      <c r="V130" s="13">
        <f t="shared" ref="V130:V193" si="15">T130/U130</f>
        <v>0.0177131306395482</v>
      </c>
      <c r="W130" s="13">
        <v>0.42</v>
      </c>
      <c r="X130" s="13">
        <f t="shared" ref="X130:X193" si="16">T130/W130</f>
        <v>0.404761904761905</v>
      </c>
      <c r="Y130" s="13">
        <v>0.02525</v>
      </c>
      <c r="Z130" s="13">
        <v>0.031245</v>
      </c>
      <c r="AA130" s="13">
        <v>0.2249</v>
      </c>
      <c r="AB130" s="13">
        <v>6.9976</v>
      </c>
      <c r="AC130" s="13">
        <v>0.0201</v>
      </c>
      <c r="AD130" s="13">
        <v>0.1864</v>
      </c>
      <c r="AE130" s="13">
        <v>-0.10155</v>
      </c>
      <c r="AF130" s="13">
        <v>0.45</v>
      </c>
      <c r="AG130" s="13">
        <v>16.357432328795</v>
      </c>
      <c r="AH130" s="13">
        <f t="shared" ref="AH130:AH193" si="17">AF130/AG130</f>
        <v>0.0275104301796705</v>
      </c>
      <c r="AI130" s="13">
        <v>1.53</v>
      </c>
      <c r="AJ130" s="13">
        <f t="shared" ref="AJ130:AJ193" si="18">AF130/AI130</f>
        <v>0.294117647058824</v>
      </c>
      <c r="AK130" s="13">
        <v>0.093648</v>
      </c>
      <c r="AL130" s="13">
        <v>0.096088</v>
      </c>
      <c r="AM130" s="13">
        <v>0.1959</v>
      </c>
      <c r="AN130" s="13">
        <v>7.3257</v>
      </c>
      <c r="AO130" s="13">
        <v>0.0264039828062281</v>
      </c>
      <c r="AP130" s="13">
        <v>0.209784435350424</v>
      </c>
      <c r="AQ130" s="13">
        <v>-0.013739</v>
      </c>
      <c r="AR130" s="13">
        <v>0.41</v>
      </c>
      <c r="AS130" s="13">
        <v>13.2814505274563</v>
      </c>
      <c r="AT130" s="13">
        <f t="shared" ref="AT130:AT193" si="19">AR130/AS130</f>
        <v>0.0308701221415854</v>
      </c>
      <c r="AU130" s="13">
        <v>1.01</v>
      </c>
      <c r="AV130" s="13">
        <f t="shared" ref="AV130:AV193" si="20">AR130/AU130</f>
        <v>0.405940594059406</v>
      </c>
      <c r="AW130" s="13">
        <v>0.061129</v>
      </c>
      <c r="AX130" s="13">
        <v>0.051599</v>
      </c>
      <c r="AY130" s="13">
        <v>0.2386</v>
      </c>
      <c r="AZ130" s="13">
        <v>7.364</v>
      </c>
      <c r="BA130" s="13">
        <v>0.0401564350620655</v>
      </c>
      <c r="BB130" s="13">
        <v>0.182359842841295</v>
      </c>
      <c r="BC130" s="13">
        <v>0.234021</v>
      </c>
    </row>
    <row r="131" spans="1:55">
      <c r="A131" s="8" t="s">
        <v>461</v>
      </c>
      <c r="B131" s="8" t="s">
        <v>462</v>
      </c>
      <c r="C131" s="8" t="s">
        <v>77</v>
      </c>
      <c r="D131" s="9">
        <v>240617</v>
      </c>
      <c r="E131" s="8" t="s">
        <v>132</v>
      </c>
      <c r="F131" s="8" t="s">
        <v>222</v>
      </c>
      <c r="G131" s="10">
        <v>671346506472</v>
      </c>
      <c r="H131" s="10">
        <v>0</v>
      </c>
      <c r="I131" s="9">
        <v>12707076591</v>
      </c>
      <c r="J131" s="9">
        <v>31264425327</v>
      </c>
      <c r="K131" s="11">
        <v>98.4084</v>
      </c>
      <c r="L131" s="12">
        <v>37538</v>
      </c>
      <c r="M131" s="12">
        <v>37256</v>
      </c>
      <c r="N131" s="9">
        <f t="shared" si="14"/>
        <v>282</v>
      </c>
      <c r="O131" s="13">
        <v>36.46</v>
      </c>
      <c r="P131" s="13">
        <v>10.2</v>
      </c>
      <c r="Q131" s="13">
        <v>5.9463</v>
      </c>
      <c r="R131" s="8"/>
      <c r="S131" s="13">
        <v>596359</v>
      </c>
      <c r="T131" s="13">
        <v>0.0621</v>
      </c>
      <c r="U131" s="13">
        <v>4.9522</v>
      </c>
      <c r="V131" s="13">
        <f t="shared" si="15"/>
        <v>0.0125398812648924</v>
      </c>
      <c r="W131" s="13">
        <v>0.292</v>
      </c>
      <c r="X131" s="13">
        <f t="shared" si="16"/>
        <v>0.212671232876712</v>
      </c>
      <c r="Y131" s="13">
        <v>0.055725</v>
      </c>
      <c r="Z131" s="13">
        <v>0.052878</v>
      </c>
      <c r="AA131" s="13">
        <v>0.5834</v>
      </c>
      <c r="AB131" s="13">
        <v>4.1214</v>
      </c>
      <c r="AC131" s="13">
        <v>0.2342</v>
      </c>
      <c r="AD131" s="13">
        <v>0.22</v>
      </c>
      <c r="AE131" s="13">
        <v>0.045605</v>
      </c>
      <c r="AF131" s="13">
        <v>0.0427</v>
      </c>
      <c r="AG131" s="13">
        <v>4.07305986344963</v>
      </c>
      <c r="AH131" s="13">
        <f t="shared" si="17"/>
        <v>0.0104835188854395</v>
      </c>
      <c r="AI131" s="13">
        <v>0.234</v>
      </c>
      <c r="AJ131" s="13">
        <f t="shared" si="18"/>
        <v>0.182478632478632</v>
      </c>
      <c r="AK131" s="13">
        <v>0.048088</v>
      </c>
      <c r="AL131" s="13">
        <v>0.046912</v>
      </c>
      <c r="AM131" s="13">
        <v>0.5734</v>
      </c>
      <c r="AN131" s="13">
        <v>4.0778</v>
      </c>
      <c r="AO131" s="13">
        <v>0.286547634592868</v>
      </c>
      <c r="AP131" s="13">
        <v>0.295384677677781</v>
      </c>
      <c r="AQ131" s="13">
        <v>0.082626</v>
      </c>
      <c r="AR131" s="13">
        <v>0.0524</v>
      </c>
      <c r="AS131" s="13">
        <v>5.28221590170984</v>
      </c>
      <c r="AT131" s="13">
        <f t="shared" si="19"/>
        <v>0.00992007918173853</v>
      </c>
      <c r="AU131" s="13">
        <v>0.261</v>
      </c>
      <c r="AV131" s="13">
        <f t="shared" si="20"/>
        <v>0.200766283524904</v>
      </c>
      <c r="AW131" s="13">
        <v>0.05212</v>
      </c>
      <c r="AX131" s="13">
        <v>0.050222</v>
      </c>
      <c r="AY131" s="13">
        <v>0.5699</v>
      </c>
      <c r="AZ131" s="13">
        <v>4.1693</v>
      </c>
      <c r="BA131" s="13">
        <v>0.280038987512584</v>
      </c>
      <c r="BB131" s="13">
        <v>0.239661299772884</v>
      </c>
      <c r="BC131" s="13">
        <v>0.049734</v>
      </c>
    </row>
    <row r="132" spans="1:55">
      <c r="A132" s="8" t="s">
        <v>463</v>
      </c>
      <c r="B132" s="8" t="s">
        <v>464</v>
      </c>
      <c r="C132" s="8" t="s">
        <v>77</v>
      </c>
      <c r="D132" s="9">
        <v>7265</v>
      </c>
      <c r="E132" s="8" t="s">
        <v>198</v>
      </c>
      <c r="F132" s="8" t="s">
        <v>59</v>
      </c>
      <c r="G132" s="10">
        <v>332159927694.29</v>
      </c>
      <c r="H132" s="10">
        <v>3</v>
      </c>
      <c r="I132" s="9">
        <v>2307041926</v>
      </c>
      <c r="J132" s="9">
        <v>6393983207</v>
      </c>
      <c r="K132" s="11">
        <v>100</v>
      </c>
      <c r="L132" s="12">
        <v>35569</v>
      </c>
      <c r="M132" s="12">
        <v>35563</v>
      </c>
      <c r="N132" s="9">
        <f t="shared" si="14"/>
        <v>6</v>
      </c>
      <c r="O132" s="13">
        <v>41.82</v>
      </c>
      <c r="P132" s="13">
        <v>18.07</v>
      </c>
      <c r="Q132" s="13">
        <v>4.02</v>
      </c>
      <c r="R132" s="8" t="s">
        <v>465</v>
      </c>
      <c r="S132" s="13">
        <v>85679</v>
      </c>
      <c r="T132" s="13">
        <v>0.127</v>
      </c>
      <c r="U132" s="13">
        <v>7.1209</v>
      </c>
      <c r="V132" s="13">
        <f t="shared" si="15"/>
        <v>0.0178348242497437</v>
      </c>
      <c r="W132" s="13">
        <v>0.41</v>
      </c>
      <c r="X132" s="13">
        <f t="shared" si="16"/>
        <v>0.309756097560976</v>
      </c>
      <c r="Y132" s="13">
        <v>0.049917</v>
      </c>
      <c r="Z132" s="13">
        <v>0.212402</v>
      </c>
      <c r="AA132" s="13">
        <v>0.0517</v>
      </c>
      <c r="AB132" s="13">
        <v>5.3961</v>
      </c>
      <c r="AC132" s="13">
        <v>12.7211</v>
      </c>
      <c r="AD132" s="13">
        <v>0.847</v>
      </c>
      <c r="AE132" s="13">
        <v>-0.137552</v>
      </c>
      <c r="AF132" s="13">
        <v>0.092</v>
      </c>
      <c r="AG132" s="13">
        <v>6.69414472262939</v>
      </c>
      <c r="AH132" s="13">
        <f t="shared" si="17"/>
        <v>0.0137433539028513</v>
      </c>
      <c r="AI132" s="13">
        <v>0.44</v>
      </c>
      <c r="AJ132" s="13">
        <f t="shared" si="18"/>
        <v>0.209090909090909</v>
      </c>
      <c r="AK132" s="13">
        <v>0.058459</v>
      </c>
      <c r="AL132" s="13">
        <v>0.202436</v>
      </c>
      <c r="AM132" s="13">
        <v>0.0668</v>
      </c>
      <c r="AN132" s="13">
        <v>5.0978</v>
      </c>
      <c r="AO132" s="13">
        <v>0.637931156490772</v>
      </c>
      <c r="AP132" s="13">
        <v>0.771445008281406</v>
      </c>
      <c r="AQ132" s="13">
        <v>0.011779</v>
      </c>
      <c r="AR132" s="13">
        <v>0.11031</v>
      </c>
      <c r="AS132" s="13">
        <v>7.22660483577396</v>
      </c>
      <c r="AT132" s="13">
        <f t="shared" si="19"/>
        <v>0.0152644294944607</v>
      </c>
      <c r="AU132" s="13">
        <v>0.36</v>
      </c>
      <c r="AV132" s="13">
        <f t="shared" si="20"/>
        <v>0.306416666666667</v>
      </c>
      <c r="AW132" s="13">
        <v>0.04522</v>
      </c>
      <c r="AX132" s="13">
        <v>0.168821</v>
      </c>
      <c r="AY132" s="13">
        <v>0.0639</v>
      </c>
      <c r="AZ132" s="13">
        <v>5.2448</v>
      </c>
      <c r="BA132" s="13">
        <v>0.206289009974404</v>
      </c>
      <c r="BB132" s="13">
        <v>0.720445244169802</v>
      </c>
      <c r="BC132" s="13">
        <v>0.018887</v>
      </c>
    </row>
    <row r="133" spans="1:55">
      <c r="A133" s="8" t="s">
        <v>466</v>
      </c>
      <c r="B133" s="8" t="s">
        <v>467</v>
      </c>
      <c r="C133" s="8" t="s">
        <v>82</v>
      </c>
      <c r="D133" s="9">
        <v>16707</v>
      </c>
      <c r="E133" s="8" t="s">
        <v>158</v>
      </c>
      <c r="F133" s="8" t="s">
        <v>67</v>
      </c>
      <c r="G133" s="10">
        <v>31758276350.8</v>
      </c>
      <c r="H133" s="10">
        <v>4</v>
      </c>
      <c r="I133" s="9">
        <v>1291755584</v>
      </c>
      <c r="J133" s="9">
        <v>2213939223</v>
      </c>
      <c r="K133" s="11">
        <v>100</v>
      </c>
      <c r="L133" s="12">
        <v>35558</v>
      </c>
      <c r="M133" s="12">
        <v>35438</v>
      </c>
      <c r="N133" s="9">
        <f t="shared" si="14"/>
        <v>120</v>
      </c>
      <c r="O133" s="13">
        <v>37.7</v>
      </c>
      <c r="P133" s="13">
        <v>11.01</v>
      </c>
      <c r="Q133" s="13">
        <v>3.95</v>
      </c>
      <c r="R133" s="8" t="s">
        <v>468</v>
      </c>
      <c r="S133" s="13">
        <v>44010</v>
      </c>
      <c r="T133" s="13">
        <v>1</v>
      </c>
      <c r="U133" s="13">
        <v>22.4859</v>
      </c>
      <c r="V133" s="13">
        <f t="shared" si="15"/>
        <v>0.044472313761068</v>
      </c>
      <c r="W133" s="13">
        <v>1.86</v>
      </c>
      <c r="X133" s="13">
        <f t="shared" si="16"/>
        <v>0.537634408602151</v>
      </c>
      <c r="Y133" s="13">
        <v>0.301081</v>
      </c>
      <c r="Z133" s="13">
        <v>0.111612</v>
      </c>
      <c r="AA133" s="13">
        <v>1.1814</v>
      </c>
      <c r="AB133" s="13">
        <v>2.3044</v>
      </c>
      <c r="AC133" s="13">
        <v>0.1937</v>
      </c>
      <c r="AD133" s="13">
        <v>0.6788</v>
      </c>
      <c r="AE133" s="13">
        <v>0.376289</v>
      </c>
      <c r="AF133" s="13">
        <v>1</v>
      </c>
      <c r="AG133" s="13">
        <v>8.3963909181174</v>
      </c>
      <c r="AH133" s="13">
        <f t="shared" si="17"/>
        <v>0.119098790153069</v>
      </c>
      <c r="AI133" s="13">
        <v>0.34</v>
      </c>
      <c r="AJ133" s="13">
        <f t="shared" si="18"/>
        <v>2.94117647058823</v>
      </c>
      <c r="AK133" s="13">
        <v>0.051136</v>
      </c>
      <c r="AL133" s="13">
        <v>0.035222</v>
      </c>
      <c r="AM133" s="13">
        <v>0.7013</v>
      </c>
      <c r="AN133" s="13">
        <v>2.0937</v>
      </c>
      <c r="AO133" s="13">
        <v>0.149255043052052</v>
      </c>
      <c r="AP133" s="13">
        <v>0.580379664463786</v>
      </c>
      <c r="AQ133" s="13">
        <v>-0.061743</v>
      </c>
      <c r="AR133" s="13">
        <v>1.5</v>
      </c>
      <c r="AS133" s="13">
        <v>11.9198502002198</v>
      </c>
      <c r="AT133" s="13">
        <f t="shared" si="19"/>
        <v>0.125840507624193</v>
      </c>
      <c r="AU133" s="13">
        <v>0.82</v>
      </c>
      <c r="AV133" s="13">
        <f t="shared" si="20"/>
        <v>1.82926829268293</v>
      </c>
      <c r="AW133" s="13">
        <v>0.128002</v>
      </c>
      <c r="AX133" s="13">
        <v>0.068024</v>
      </c>
      <c r="AY133" s="13">
        <v>0.8887</v>
      </c>
      <c r="AZ133" s="13">
        <v>2.1434</v>
      </c>
      <c r="BA133" s="13">
        <v>0.174421254365072</v>
      </c>
      <c r="BB133" s="13">
        <v>0.495504201657592</v>
      </c>
      <c r="BC133" s="13">
        <v>0.240517</v>
      </c>
    </row>
    <row r="134" spans="1:55">
      <c r="A134" s="8" t="s">
        <v>469</v>
      </c>
      <c r="B134" s="8" t="s">
        <v>470</v>
      </c>
      <c r="C134" s="8" t="s">
        <v>89</v>
      </c>
      <c r="D134" s="9">
        <v>17883</v>
      </c>
      <c r="E134" s="8" t="s">
        <v>132</v>
      </c>
      <c r="F134" s="8" t="s">
        <v>67</v>
      </c>
      <c r="G134" s="10">
        <v>31819049684.38</v>
      </c>
      <c r="H134" s="10">
        <v>5</v>
      </c>
      <c r="I134" s="9">
        <v>652161722</v>
      </c>
      <c r="J134" s="9">
        <v>1371470262</v>
      </c>
      <c r="K134" s="11">
        <v>100</v>
      </c>
      <c r="L134" s="12">
        <v>35606</v>
      </c>
      <c r="M134" s="12">
        <v>35599</v>
      </c>
      <c r="N134" s="9">
        <f t="shared" si="14"/>
        <v>7</v>
      </c>
      <c r="O134" s="13">
        <v>52.45</v>
      </c>
      <c r="P134" s="13">
        <v>2.99</v>
      </c>
      <c r="Q134" s="13">
        <v>1.12</v>
      </c>
      <c r="R134" s="8" t="s">
        <v>471</v>
      </c>
      <c r="S134" s="13">
        <v>132210</v>
      </c>
      <c r="T134" s="13">
        <v>0.5</v>
      </c>
      <c r="U134" s="13">
        <v>41.2823</v>
      </c>
      <c r="V134" s="13">
        <f t="shared" si="15"/>
        <v>0.0121117282709539</v>
      </c>
      <c r="W134" s="13">
        <v>1.113</v>
      </c>
      <c r="X134" s="13">
        <f t="shared" si="16"/>
        <v>0.449236298292902</v>
      </c>
      <c r="Y134" s="13">
        <v>0.116268</v>
      </c>
      <c r="Z134" s="13">
        <v>0.122617</v>
      </c>
      <c r="AA134" s="13">
        <v>0.6069</v>
      </c>
      <c r="AB134" s="13">
        <v>2.3344</v>
      </c>
      <c r="AC134" s="13">
        <v>0.0409</v>
      </c>
      <c r="AD134" s="13">
        <v>1.4489</v>
      </c>
      <c r="AE134" s="13">
        <v>0.041229</v>
      </c>
      <c r="AF134" s="13">
        <v>0.32</v>
      </c>
      <c r="AG134" s="13">
        <v>46.3766762273018</v>
      </c>
      <c r="AH134" s="13">
        <f t="shared" si="17"/>
        <v>0.00690002014011554</v>
      </c>
      <c r="AI134" s="13">
        <v>1.04</v>
      </c>
      <c r="AJ134" s="13">
        <f t="shared" si="18"/>
        <v>0.307692307692308</v>
      </c>
      <c r="AK134" s="13">
        <v>0.127071</v>
      </c>
      <c r="AL134" s="13">
        <v>0.143074</v>
      </c>
      <c r="AM134" s="13">
        <v>0.5899</v>
      </c>
      <c r="AN134" s="13">
        <v>2.3224</v>
      </c>
      <c r="AO134" s="13">
        <v>0.20128877608741</v>
      </c>
      <c r="AP134" s="13">
        <v>1.90804544047761</v>
      </c>
      <c r="AQ134" s="13">
        <v>0.052682</v>
      </c>
      <c r="AR134" s="13">
        <v>0.5</v>
      </c>
      <c r="AS134" s="13">
        <v>52.8052547646661</v>
      </c>
      <c r="AT134" s="13">
        <f t="shared" si="19"/>
        <v>0.00946875461974985</v>
      </c>
      <c r="AU134" s="13">
        <v>1.217</v>
      </c>
      <c r="AV134" s="13">
        <f t="shared" si="20"/>
        <v>0.410846343467543</v>
      </c>
      <c r="AW134" s="13">
        <v>0.13423</v>
      </c>
      <c r="AX134" s="13">
        <v>0.14463</v>
      </c>
      <c r="AY134" s="13">
        <v>0.6252</v>
      </c>
      <c r="AZ134" s="13">
        <v>2.2977</v>
      </c>
      <c r="BA134" s="13">
        <v>0.104669571264226</v>
      </c>
      <c r="BB134" s="13">
        <v>1.72736981818478</v>
      </c>
      <c r="BC134" s="13">
        <v>0.161879</v>
      </c>
    </row>
    <row r="135" spans="1:55">
      <c r="A135" s="8" t="s">
        <v>472</v>
      </c>
      <c r="B135" s="8" t="s">
        <v>473</v>
      </c>
      <c r="C135" s="8" t="s">
        <v>82</v>
      </c>
      <c r="D135" s="9">
        <v>30542</v>
      </c>
      <c r="E135" s="8" t="s">
        <v>78</v>
      </c>
      <c r="F135" s="8" t="s">
        <v>67</v>
      </c>
      <c r="G135" s="10">
        <v>224401315345.88</v>
      </c>
      <c r="H135" s="10">
        <v>9</v>
      </c>
      <c r="I135" s="9">
        <v>4141299271</v>
      </c>
      <c r="J135" s="9">
        <v>5052792571</v>
      </c>
      <c r="K135" s="11">
        <v>100</v>
      </c>
      <c r="L135" s="12">
        <v>35599</v>
      </c>
      <c r="M135" s="12">
        <v>34026</v>
      </c>
      <c r="N135" s="9">
        <f t="shared" si="14"/>
        <v>1573</v>
      </c>
      <c r="O135" s="13">
        <v>11.5</v>
      </c>
      <c r="P135" s="13">
        <v>6.54</v>
      </c>
      <c r="Q135" s="13">
        <v>2.29</v>
      </c>
      <c r="R135" s="8" t="s">
        <v>474</v>
      </c>
      <c r="S135" s="13">
        <v>354115</v>
      </c>
      <c r="T135" s="13">
        <v>0.25</v>
      </c>
      <c r="U135" s="13">
        <v>14.1701</v>
      </c>
      <c r="V135" s="13">
        <f t="shared" si="15"/>
        <v>0.0176427830431684</v>
      </c>
      <c r="W135" s="13">
        <v>0.7962</v>
      </c>
      <c r="X135" s="13">
        <f t="shared" si="16"/>
        <v>0.313991459432303</v>
      </c>
      <c r="Y135" s="13">
        <v>0.06361</v>
      </c>
      <c r="Z135" s="13">
        <v>0.036764</v>
      </c>
      <c r="AA135" s="13">
        <v>0.4899</v>
      </c>
      <c r="AB135" s="13">
        <v>3.0732</v>
      </c>
      <c r="AC135" s="13">
        <v>0.1324</v>
      </c>
      <c r="AD135" s="13">
        <v>0.4201</v>
      </c>
      <c r="AE135" s="13">
        <v>-0.003461</v>
      </c>
      <c r="AF135" s="13">
        <v>1.12</v>
      </c>
      <c r="AG135" s="13">
        <v>23.2424121381693</v>
      </c>
      <c r="AH135" s="13">
        <f t="shared" si="17"/>
        <v>0.0481877695542928</v>
      </c>
      <c r="AI135" s="13">
        <v>4.1183</v>
      </c>
      <c r="AJ135" s="13">
        <f t="shared" si="18"/>
        <v>0.271956875409756</v>
      </c>
      <c r="AK135" s="13">
        <v>0.311781</v>
      </c>
      <c r="AL135" s="13">
        <v>0.238043</v>
      </c>
      <c r="AM135" s="13">
        <v>0.6472</v>
      </c>
      <c r="AN135" s="13">
        <v>2.912</v>
      </c>
      <c r="AO135" s="13">
        <v>0.226572948922617</v>
      </c>
      <c r="AP135" s="13">
        <v>0.361690722572385</v>
      </c>
      <c r="AQ135" s="13">
        <v>0.390699</v>
      </c>
      <c r="AR135" s="13">
        <v>0.2</v>
      </c>
      <c r="AS135" s="13">
        <v>19.4160498305785</v>
      </c>
      <c r="AT135" s="13">
        <f t="shared" si="19"/>
        <v>0.0103007564229166</v>
      </c>
      <c r="AU135" s="13">
        <v>2.3888</v>
      </c>
      <c r="AV135" s="13">
        <f t="shared" si="20"/>
        <v>0.0837240455458808</v>
      </c>
      <c r="AW135" s="13">
        <v>0.177994</v>
      </c>
      <c r="AX135" s="13">
        <v>0.143504</v>
      </c>
      <c r="AY135" s="13">
        <v>0.5422</v>
      </c>
      <c r="AZ135" s="13">
        <v>3.0121</v>
      </c>
      <c r="BA135" s="13">
        <v>0.262834864732443</v>
      </c>
      <c r="BB135" s="13">
        <v>0.43752472072974</v>
      </c>
      <c r="BC135" s="13">
        <v>0.017574</v>
      </c>
    </row>
    <row r="136" spans="1:55">
      <c r="A136" s="8" t="s">
        <v>475</v>
      </c>
      <c r="B136" s="8" t="s">
        <v>476</v>
      </c>
      <c r="C136" s="8" t="s">
        <v>89</v>
      </c>
      <c r="D136" s="9">
        <v>187739</v>
      </c>
      <c r="E136" s="8" t="s">
        <v>198</v>
      </c>
      <c r="F136" s="8" t="s">
        <v>67</v>
      </c>
      <c r="G136" s="10">
        <v>942450297420.62</v>
      </c>
      <c r="H136" s="10">
        <v>2</v>
      </c>
      <c r="I136" s="9">
        <v>3491848225</v>
      </c>
      <c r="J136" s="9">
        <v>11495277504</v>
      </c>
      <c r="K136" s="11">
        <v>100</v>
      </c>
      <c r="L136" s="12">
        <v>35759</v>
      </c>
      <c r="M136" s="12">
        <v>30788</v>
      </c>
      <c r="N136" s="9">
        <f t="shared" si="14"/>
        <v>4971</v>
      </c>
      <c r="O136" s="13">
        <v>63.71</v>
      </c>
      <c r="P136" s="13">
        <v>5.91</v>
      </c>
      <c r="Q136" s="13">
        <v>3.6</v>
      </c>
      <c r="R136" s="8" t="s">
        <v>477</v>
      </c>
      <c r="S136" s="13">
        <v>193351</v>
      </c>
      <c r="T136" s="13">
        <v>0.088</v>
      </c>
      <c r="U136" s="13">
        <v>16.2923</v>
      </c>
      <c r="V136" s="13">
        <f t="shared" si="15"/>
        <v>0.00540132455208902</v>
      </c>
      <c r="W136" s="13">
        <v>0.145</v>
      </c>
      <c r="X136" s="13">
        <f t="shared" si="16"/>
        <v>0.606896551724138</v>
      </c>
      <c r="Y136" s="13">
        <v>0.005805</v>
      </c>
      <c r="Z136" s="13">
        <v>0.009295</v>
      </c>
      <c r="AA136" s="13">
        <v>0.6392</v>
      </c>
      <c r="AB136" s="13">
        <v>3.4203</v>
      </c>
      <c r="AC136" s="13">
        <v>0.1128</v>
      </c>
      <c r="AD136" s="13">
        <v>0.5191</v>
      </c>
      <c r="AE136" s="13">
        <v>-0.157264</v>
      </c>
      <c r="AF136" s="13">
        <v>0.3371</v>
      </c>
      <c r="AG136" s="13">
        <v>17.0117710932725</v>
      </c>
      <c r="AH136" s="13">
        <f t="shared" si="17"/>
        <v>0.019815691038384</v>
      </c>
      <c r="AI136" s="13">
        <v>1.4</v>
      </c>
      <c r="AJ136" s="13">
        <f t="shared" si="18"/>
        <v>0.240785714285714</v>
      </c>
      <c r="AK136" s="13">
        <v>0.058291</v>
      </c>
      <c r="AL136" s="13">
        <v>0.0307</v>
      </c>
      <c r="AM136" s="13">
        <v>0.7803</v>
      </c>
      <c r="AN136" s="13">
        <v>3.4485</v>
      </c>
      <c r="AO136" s="13">
        <v>0.0127738400853436</v>
      </c>
      <c r="AP136" s="13">
        <v>0.379175824571676</v>
      </c>
      <c r="AQ136" s="13">
        <v>-0.045885</v>
      </c>
      <c r="AR136" s="13">
        <v>0.37044</v>
      </c>
      <c r="AS136" s="13">
        <v>14.479302306567</v>
      </c>
      <c r="AT136" s="13">
        <f t="shared" si="19"/>
        <v>0.0255841056534878</v>
      </c>
      <c r="AU136" s="13">
        <v>1.226</v>
      </c>
      <c r="AV136" s="13">
        <f t="shared" si="20"/>
        <v>0.302153344208809</v>
      </c>
      <c r="AW136" s="13">
        <v>0.049885</v>
      </c>
      <c r="AX136" s="13">
        <v>0.026937</v>
      </c>
      <c r="AY136" s="13">
        <v>0.7459</v>
      </c>
      <c r="AZ136" s="13">
        <v>3.5306</v>
      </c>
      <c r="BA136" s="13">
        <v>0.0568472280689688</v>
      </c>
      <c r="BB136" s="13">
        <v>0.364271394980701</v>
      </c>
      <c r="BC136" s="13">
        <v>0.000863</v>
      </c>
    </row>
    <row r="137" spans="1:55">
      <c r="A137" s="8" t="s">
        <v>478</v>
      </c>
      <c r="B137" s="8" t="s">
        <v>479</v>
      </c>
      <c r="C137" s="8" t="s">
        <v>89</v>
      </c>
      <c r="D137" s="9">
        <v>9867</v>
      </c>
      <c r="E137" s="8" t="s">
        <v>170</v>
      </c>
      <c r="F137" s="8" t="s">
        <v>67</v>
      </c>
      <c r="G137" s="10">
        <v>47714995948.73</v>
      </c>
      <c r="H137" s="10">
        <v>36</v>
      </c>
      <c r="I137" s="9">
        <v>2240266051</v>
      </c>
      <c r="J137" s="9">
        <v>3615065842</v>
      </c>
      <c r="K137" s="11">
        <v>100</v>
      </c>
      <c r="L137" s="12">
        <v>35697</v>
      </c>
      <c r="M137" s="12">
        <v>35685</v>
      </c>
      <c r="N137" s="9">
        <f t="shared" si="14"/>
        <v>12</v>
      </c>
      <c r="O137" s="13">
        <v>38.03</v>
      </c>
      <c r="P137" s="13">
        <v>3.04</v>
      </c>
      <c r="Q137" s="13">
        <v>2.22</v>
      </c>
      <c r="R137" s="8" t="s">
        <v>480</v>
      </c>
      <c r="S137" s="13">
        <v>699911</v>
      </c>
      <c r="T137" s="13">
        <v>0.035</v>
      </c>
      <c r="U137" s="13">
        <v>20.9597</v>
      </c>
      <c r="V137" s="13">
        <f t="shared" si="15"/>
        <v>0.00166987122907294</v>
      </c>
      <c r="W137" s="13">
        <v>0.2778</v>
      </c>
      <c r="X137" s="13">
        <f t="shared" si="16"/>
        <v>0.125989920806336</v>
      </c>
      <c r="Y137" s="13">
        <v>0.045596</v>
      </c>
      <c r="Z137" s="13">
        <v>0.048184</v>
      </c>
      <c r="AA137" s="13">
        <v>0.7678</v>
      </c>
      <c r="AB137" s="13">
        <v>1.9495</v>
      </c>
      <c r="AC137" s="13">
        <v>0.0311</v>
      </c>
      <c r="AD137" s="13">
        <v>0.8302</v>
      </c>
      <c r="AE137" s="13">
        <v>-0.015843</v>
      </c>
      <c r="AF137" s="13">
        <v>0.17</v>
      </c>
      <c r="AG137" s="13">
        <v>35.2247178728503</v>
      </c>
      <c r="AH137" s="13">
        <f t="shared" si="17"/>
        <v>0.00482615646812685</v>
      </c>
      <c r="AI137" s="13">
        <v>1.6552</v>
      </c>
      <c r="AJ137" s="13">
        <f t="shared" si="18"/>
        <v>0.102706621556307</v>
      </c>
      <c r="AK137" s="13">
        <v>0.340184</v>
      </c>
      <c r="AL137" s="13">
        <v>0.170635</v>
      </c>
      <c r="AM137" s="13">
        <v>1.0444</v>
      </c>
      <c r="AN137" s="13">
        <v>2.0283</v>
      </c>
      <c r="AO137" s="13">
        <v>0.127237180494088</v>
      </c>
      <c r="AP137" s="13">
        <v>0.645020739771419</v>
      </c>
      <c r="AQ137" s="13">
        <v>0.225321</v>
      </c>
      <c r="AR137" s="13">
        <v>0.07</v>
      </c>
      <c r="AS137" s="13">
        <v>25.2515122893345</v>
      </c>
      <c r="AT137" s="13">
        <f t="shared" si="19"/>
        <v>0.00277211119864555</v>
      </c>
      <c r="AU137" s="13">
        <v>0.6558</v>
      </c>
      <c r="AV137" s="13">
        <f t="shared" si="20"/>
        <v>0.106739859713327</v>
      </c>
      <c r="AW137" s="13">
        <v>0.11439</v>
      </c>
      <c r="AX137" s="13">
        <v>0.078309</v>
      </c>
      <c r="AY137" s="13">
        <v>0.8685</v>
      </c>
      <c r="AZ137" s="13">
        <v>1.8611</v>
      </c>
      <c r="BA137" s="13">
        <v>0.0724793681892927</v>
      </c>
      <c r="BB137" s="13">
        <v>0.884698279903633</v>
      </c>
      <c r="BC137" s="13">
        <v>-0.100994</v>
      </c>
    </row>
    <row r="138" spans="1:55">
      <c r="A138" s="8" t="s">
        <v>481</v>
      </c>
      <c r="B138" s="8" t="s">
        <v>482</v>
      </c>
      <c r="C138" s="8" t="s">
        <v>77</v>
      </c>
      <c r="D138" s="9">
        <v>85168</v>
      </c>
      <c r="E138" s="8" t="s">
        <v>198</v>
      </c>
      <c r="F138" s="8" t="s">
        <v>184</v>
      </c>
      <c r="G138" s="10">
        <v>287360000000</v>
      </c>
      <c r="H138" s="10">
        <v>0</v>
      </c>
      <c r="I138" s="9">
        <v>6900243314</v>
      </c>
      <c r="J138" s="9">
        <v>22087736670</v>
      </c>
      <c r="K138" s="11">
        <v>77.0788</v>
      </c>
      <c r="L138" s="12">
        <v>35739</v>
      </c>
      <c r="M138" s="12">
        <v>34803</v>
      </c>
      <c r="N138" s="9">
        <f t="shared" si="14"/>
        <v>936</v>
      </c>
      <c r="O138" s="13">
        <v>39.74</v>
      </c>
      <c r="P138" s="13">
        <v>21.1</v>
      </c>
      <c r="Q138" s="13">
        <v>3.63</v>
      </c>
      <c r="R138" s="8" t="s">
        <v>483</v>
      </c>
      <c r="S138" s="13">
        <v>149906</v>
      </c>
      <c r="T138" s="13"/>
      <c r="U138" s="13">
        <v>3.8644</v>
      </c>
      <c r="V138" s="13">
        <f t="shared" si="15"/>
        <v>0</v>
      </c>
      <c r="W138" s="13">
        <v>-0.19</v>
      </c>
      <c r="X138" s="13">
        <f t="shared" si="16"/>
        <v>0</v>
      </c>
      <c r="Y138" s="13">
        <v>-0.104163</v>
      </c>
      <c r="Z138" s="13">
        <v>-0.036315</v>
      </c>
      <c r="AA138" s="13">
        <v>0.4726</v>
      </c>
      <c r="AB138" s="13">
        <v>6.8903</v>
      </c>
      <c r="AC138" s="13">
        <v>0.2824</v>
      </c>
      <c r="AD138" s="13">
        <v>0.0377</v>
      </c>
      <c r="AE138" s="13">
        <v>0.161107</v>
      </c>
      <c r="AF138" s="13"/>
      <c r="AG138" s="13">
        <v>5.11958983751312</v>
      </c>
      <c r="AH138" s="13">
        <f t="shared" si="17"/>
        <v>0</v>
      </c>
      <c r="AI138" s="13">
        <v>-1.9806</v>
      </c>
      <c r="AJ138" s="13">
        <f t="shared" si="18"/>
        <v>0</v>
      </c>
      <c r="AK138" s="13">
        <v>-0.929387</v>
      </c>
      <c r="AL138" s="13">
        <v>-0.865303</v>
      </c>
      <c r="AM138" s="13">
        <v>0.1611</v>
      </c>
      <c r="AN138" s="13">
        <v>7.1133</v>
      </c>
      <c r="AO138" s="13">
        <v>-0.140400338314068</v>
      </c>
      <c r="AP138" s="13">
        <v>0.165576912237191</v>
      </c>
      <c r="AQ138" s="13">
        <v>-0.313078</v>
      </c>
      <c r="AR138" s="13"/>
      <c r="AS138" s="13">
        <v>4.74754378630611</v>
      </c>
      <c r="AT138" s="13">
        <f t="shared" si="19"/>
        <v>0</v>
      </c>
      <c r="AU138" s="13">
        <v>-0.37</v>
      </c>
      <c r="AV138" s="13">
        <f t="shared" si="20"/>
        <v>0</v>
      </c>
      <c r="AW138" s="13">
        <v>-0.23441</v>
      </c>
      <c r="AX138" s="13">
        <v>-0.075733</v>
      </c>
      <c r="AY138" s="13">
        <v>0.4003</v>
      </c>
      <c r="AZ138" s="13">
        <v>8.1537</v>
      </c>
      <c r="BA138" s="13">
        <v>0.233627276004255</v>
      </c>
      <c r="BB138" s="13">
        <v>0.114074380787473</v>
      </c>
      <c r="BC138" s="13">
        <v>1.456344</v>
      </c>
    </row>
    <row r="139" spans="1:55">
      <c r="A139" s="8" t="s">
        <v>484</v>
      </c>
      <c r="B139" s="8" t="s">
        <v>485</v>
      </c>
      <c r="C139" s="8" t="s">
        <v>77</v>
      </c>
      <c r="D139" s="9">
        <v>14986</v>
      </c>
      <c r="E139" s="8" t="s">
        <v>198</v>
      </c>
      <c r="F139" s="8" t="s">
        <v>67</v>
      </c>
      <c r="G139" s="10">
        <v>406022551603.91</v>
      </c>
      <c r="H139" s="10">
        <v>0</v>
      </c>
      <c r="I139" s="9">
        <v>5319297679</v>
      </c>
      <c r="J139" s="9">
        <v>7525621288</v>
      </c>
      <c r="K139" s="11">
        <v>100</v>
      </c>
      <c r="L139" s="12">
        <v>35935</v>
      </c>
      <c r="M139" s="12">
        <v>35927</v>
      </c>
      <c r="N139" s="9">
        <f t="shared" si="14"/>
        <v>8</v>
      </c>
      <c r="O139" s="13">
        <v>26.68</v>
      </c>
      <c r="P139" s="13">
        <v>14.01</v>
      </c>
      <c r="Q139" s="13">
        <v>3.48</v>
      </c>
      <c r="R139" s="8" t="s">
        <v>486</v>
      </c>
      <c r="S139" s="13">
        <v>916905</v>
      </c>
      <c r="T139" s="13">
        <v>0.25</v>
      </c>
      <c r="U139" s="13">
        <v>36.7807</v>
      </c>
      <c r="V139" s="13">
        <f t="shared" si="15"/>
        <v>0.00679704301440701</v>
      </c>
      <c r="W139" s="13">
        <v>0.81</v>
      </c>
      <c r="X139" s="13">
        <f t="shared" si="16"/>
        <v>0.308641975308642</v>
      </c>
      <c r="Y139" s="13">
        <v>0.07283</v>
      </c>
      <c r="Z139" s="13">
        <v>0.049089</v>
      </c>
      <c r="AA139" s="13">
        <v>0.4368</v>
      </c>
      <c r="AB139" s="13">
        <v>3.6253</v>
      </c>
      <c r="AC139" s="13">
        <v>0.0666</v>
      </c>
      <c r="AD139" s="13">
        <v>0.5763</v>
      </c>
      <c r="AE139" s="13">
        <v>0.050053</v>
      </c>
      <c r="AF139" s="13">
        <v>0.02</v>
      </c>
      <c r="AG139" s="13">
        <v>22.1369019119698</v>
      </c>
      <c r="AH139" s="13">
        <f t="shared" si="17"/>
        <v>0.000903468790688622</v>
      </c>
      <c r="AI139" s="13">
        <v>0.04</v>
      </c>
      <c r="AJ139" s="13">
        <f t="shared" si="18"/>
        <v>0.5</v>
      </c>
      <c r="AK139" s="13">
        <v>0.003736</v>
      </c>
      <c r="AL139" s="13">
        <v>0.014649</v>
      </c>
      <c r="AM139" s="13">
        <v>0.369</v>
      </c>
      <c r="AN139" s="13">
        <v>3.509</v>
      </c>
      <c r="AO139" s="13">
        <v>-0.000684060829453669</v>
      </c>
      <c r="AP139" s="13">
        <v>0.614384702592938</v>
      </c>
      <c r="AQ139" s="13">
        <v>-0.003058</v>
      </c>
      <c r="AR139" s="13">
        <v>0.2</v>
      </c>
      <c r="AS139" s="13">
        <v>27.8057962177307</v>
      </c>
      <c r="AT139" s="13">
        <f t="shared" si="19"/>
        <v>0.0071927449382826</v>
      </c>
      <c r="AU139" s="13">
        <v>0.66</v>
      </c>
      <c r="AV139" s="13">
        <f t="shared" si="20"/>
        <v>0.303030303030303</v>
      </c>
      <c r="AW139" s="13">
        <v>0.062717</v>
      </c>
      <c r="AX139" s="13">
        <v>0.039481</v>
      </c>
      <c r="AY139" s="13">
        <v>0.4399</v>
      </c>
      <c r="AZ139" s="13">
        <v>3.608</v>
      </c>
      <c r="BA139" s="13">
        <v>0.243362416163499</v>
      </c>
      <c r="BB139" s="13">
        <v>0.639307775297161</v>
      </c>
      <c r="BC139" s="13">
        <v>0.258102</v>
      </c>
    </row>
    <row r="140" spans="1:55">
      <c r="A140" s="8" t="s">
        <v>487</v>
      </c>
      <c r="B140" s="8" t="s">
        <v>488</v>
      </c>
      <c r="C140" s="8" t="s">
        <v>89</v>
      </c>
      <c r="D140" s="9">
        <v>8409</v>
      </c>
      <c r="E140" s="8" t="s">
        <v>165</v>
      </c>
      <c r="F140" s="8" t="s">
        <v>67</v>
      </c>
      <c r="G140" s="10">
        <v>34249459234.57</v>
      </c>
      <c r="H140" s="10">
        <v>1</v>
      </c>
      <c r="I140" s="9">
        <v>1253111586</v>
      </c>
      <c r="J140" s="9">
        <v>2699746081</v>
      </c>
      <c r="K140" s="11">
        <v>100</v>
      </c>
      <c r="L140" s="12">
        <v>35972</v>
      </c>
      <c r="M140" s="12">
        <v>35963</v>
      </c>
      <c r="N140" s="9">
        <f t="shared" si="14"/>
        <v>9</v>
      </c>
      <c r="O140" s="13">
        <v>52.7</v>
      </c>
      <c r="P140" s="13">
        <v>2.39</v>
      </c>
      <c r="Q140" s="13">
        <v>1.8</v>
      </c>
      <c r="R140" s="8" t="s">
        <v>489</v>
      </c>
      <c r="S140" s="13">
        <v>76758</v>
      </c>
      <c r="T140" s="13">
        <v>0.23</v>
      </c>
      <c r="U140" s="13">
        <v>20.9786</v>
      </c>
      <c r="V140" s="13">
        <f t="shared" si="15"/>
        <v>0.0109635533353036</v>
      </c>
      <c r="W140" s="13">
        <v>0.73</v>
      </c>
      <c r="X140" s="13">
        <f t="shared" si="16"/>
        <v>0.315068493150685</v>
      </c>
      <c r="Y140" s="13">
        <v>0.115721</v>
      </c>
      <c r="Z140" s="13">
        <v>0.08898</v>
      </c>
      <c r="AA140" s="13">
        <v>0.9537</v>
      </c>
      <c r="AB140" s="13">
        <v>1.5147</v>
      </c>
      <c r="AC140" s="13">
        <v>0.113</v>
      </c>
      <c r="AD140" s="13">
        <v>0.5684</v>
      </c>
      <c r="AE140" s="13">
        <v>0.184319</v>
      </c>
      <c r="AF140" s="13">
        <v>0.27</v>
      </c>
      <c r="AG140" s="13">
        <v>14.4625563063674</v>
      </c>
      <c r="AH140" s="13">
        <f t="shared" si="17"/>
        <v>0.0186688987949611</v>
      </c>
      <c r="AI140" s="13">
        <v>0.88</v>
      </c>
      <c r="AJ140" s="13">
        <f t="shared" si="18"/>
        <v>0.306818181818182</v>
      </c>
      <c r="AK140" s="13">
        <v>0.165317</v>
      </c>
      <c r="AL140" s="13">
        <v>0.111513</v>
      </c>
      <c r="AM140" s="13">
        <v>1.0606</v>
      </c>
      <c r="AN140" s="13">
        <v>1.4069</v>
      </c>
      <c r="AO140" s="13">
        <v>0.15433954744227</v>
      </c>
      <c r="AP140" s="13">
        <v>0.751162871913357</v>
      </c>
      <c r="AQ140" s="13">
        <v>0.194797</v>
      </c>
      <c r="AR140" s="13">
        <v>0.11</v>
      </c>
      <c r="AS140" s="13">
        <v>16.0120386084159</v>
      </c>
      <c r="AT140" s="13">
        <f t="shared" si="19"/>
        <v>0.00686983104963188</v>
      </c>
      <c r="AU140" s="13">
        <v>0.35</v>
      </c>
      <c r="AV140" s="13">
        <f t="shared" si="20"/>
        <v>0.314285714285714</v>
      </c>
      <c r="AW140" s="13">
        <v>0.059823</v>
      </c>
      <c r="AX140" s="13">
        <v>0.046897</v>
      </c>
      <c r="AY140" s="13">
        <v>0.8978</v>
      </c>
      <c r="AZ140" s="13">
        <v>1.4586</v>
      </c>
      <c r="BA140" s="13">
        <v>0.106333301245441</v>
      </c>
      <c r="BB140" s="13">
        <v>0.555974319119561</v>
      </c>
      <c r="BC140" s="13">
        <v>-0.038806</v>
      </c>
    </row>
    <row r="141" spans="1:55">
      <c r="A141" s="8" t="s">
        <v>490</v>
      </c>
      <c r="B141" s="8" t="s">
        <v>491</v>
      </c>
      <c r="C141" s="8" t="s">
        <v>77</v>
      </c>
      <c r="D141" s="9">
        <v>5298</v>
      </c>
      <c r="E141" s="8" t="s">
        <v>132</v>
      </c>
      <c r="F141" s="8" t="s">
        <v>67</v>
      </c>
      <c r="G141" s="10">
        <v>16550873344.89</v>
      </c>
      <c r="H141" s="10">
        <v>0</v>
      </c>
      <c r="I141" s="9">
        <v>986251157</v>
      </c>
      <c r="J141" s="9">
        <v>1977371446</v>
      </c>
      <c r="K141" s="11">
        <v>100</v>
      </c>
      <c r="L141" s="12">
        <v>35962</v>
      </c>
      <c r="M141" s="12">
        <v>35954</v>
      </c>
      <c r="N141" s="9">
        <f t="shared" si="14"/>
        <v>8</v>
      </c>
      <c r="O141" s="13">
        <v>45.64</v>
      </c>
      <c r="P141" s="13">
        <v>3.53</v>
      </c>
      <c r="Q141" s="13">
        <v>2.79</v>
      </c>
      <c r="R141" s="8" t="s">
        <v>492</v>
      </c>
      <c r="S141" s="13">
        <v>79044</v>
      </c>
      <c r="T141" s="13">
        <v>0.1</v>
      </c>
      <c r="U141" s="13">
        <v>25.1106</v>
      </c>
      <c r="V141" s="13">
        <f t="shared" si="15"/>
        <v>0.00398238194228732</v>
      </c>
      <c r="W141" s="13">
        <v>0.78</v>
      </c>
      <c r="X141" s="13">
        <f t="shared" si="16"/>
        <v>0.128205128205128</v>
      </c>
      <c r="Y141" s="13">
        <v>0.147812</v>
      </c>
      <c r="Z141" s="13">
        <v>0.350184</v>
      </c>
      <c r="AA141" s="13">
        <v>0.4014</v>
      </c>
      <c r="AB141" s="13">
        <v>1.434</v>
      </c>
      <c r="AC141" s="13">
        <v>0.1359</v>
      </c>
      <c r="AD141" s="13">
        <v>3.2094</v>
      </c>
      <c r="AE141" s="13">
        <v>0.164353</v>
      </c>
      <c r="AF141" s="13">
        <v>0.05</v>
      </c>
      <c r="AG141" s="13">
        <v>23.7700850872683</v>
      </c>
      <c r="AH141" s="13">
        <f t="shared" si="17"/>
        <v>0.00210348426673411</v>
      </c>
      <c r="AI141" s="13">
        <v>0.53</v>
      </c>
      <c r="AJ141" s="13">
        <f t="shared" si="18"/>
        <v>0.0943396226415094</v>
      </c>
      <c r="AK141" s="13">
        <v>0.104587</v>
      </c>
      <c r="AL141" s="13">
        <v>0.282738</v>
      </c>
      <c r="AM141" s="13">
        <v>0.3476</v>
      </c>
      <c r="AN141" s="13">
        <v>1.4553</v>
      </c>
      <c r="AO141" s="13">
        <v>0.264238839904619</v>
      </c>
      <c r="AP141" s="13">
        <v>4.0571402140863</v>
      </c>
      <c r="AQ141" s="13">
        <v>0.03627</v>
      </c>
      <c r="AR141" s="13">
        <v>0.15</v>
      </c>
      <c r="AS141" s="13">
        <v>26.4957614659751</v>
      </c>
      <c r="AT141" s="13">
        <f t="shared" si="19"/>
        <v>0.00566128285056554</v>
      </c>
      <c r="AU141" s="13">
        <v>0.67</v>
      </c>
      <c r="AV141" s="13">
        <f t="shared" si="20"/>
        <v>0.223880597014925</v>
      </c>
      <c r="AW141" s="13">
        <v>0.119225</v>
      </c>
      <c r="AX141" s="13">
        <v>0.291376</v>
      </c>
      <c r="AY141" s="13">
        <v>0.3819</v>
      </c>
      <c r="AZ141" s="13">
        <v>1.4571</v>
      </c>
      <c r="BA141" s="13">
        <v>0.462040907663684</v>
      </c>
      <c r="BB141" s="13">
        <v>3.61921261351422</v>
      </c>
      <c r="BC141" s="13">
        <v>0.215694</v>
      </c>
    </row>
    <row r="142" spans="1:55">
      <c r="A142" s="8" t="s">
        <v>493</v>
      </c>
      <c r="B142" s="8" t="s">
        <v>494</v>
      </c>
      <c r="C142" s="8" t="s">
        <v>77</v>
      </c>
      <c r="D142" s="9">
        <v>13468</v>
      </c>
      <c r="E142" s="8" t="s">
        <v>165</v>
      </c>
      <c r="F142" s="8" t="s">
        <v>67</v>
      </c>
      <c r="G142" s="10">
        <v>54551089582.32</v>
      </c>
      <c r="H142" s="10">
        <v>7</v>
      </c>
      <c r="I142" s="9">
        <v>2157657914</v>
      </c>
      <c r="J142" s="9">
        <v>4003136728</v>
      </c>
      <c r="K142" s="11">
        <v>100</v>
      </c>
      <c r="L142" s="12">
        <v>36272</v>
      </c>
      <c r="M142" s="12">
        <v>36266</v>
      </c>
      <c r="N142" s="9">
        <f t="shared" si="14"/>
        <v>6</v>
      </c>
      <c r="O142" s="13">
        <v>29.22</v>
      </c>
      <c r="P142" s="13">
        <v>16.88</v>
      </c>
      <c r="Q142" s="13">
        <v>9.75</v>
      </c>
      <c r="R142" s="8"/>
      <c r="S142" s="13">
        <v>106932</v>
      </c>
      <c r="T142" s="13">
        <v>0.24</v>
      </c>
      <c r="U142" s="13">
        <v>10.9083</v>
      </c>
      <c r="V142" s="13">
        <f t="shared" si="15"/>
        <v>0.0220015951156459</v>
      </c>
      <c r="W142" s="13">
        <v>0.6107</v>
      </c>
      <c r="X142" s="13">
        <f t="shared" si="16"/>
        <v>0.39299164892746</v>
      </c>
      <c r="Y142" s="13">
        <v>0.083323</v>
      </c>
      <c r="Z142" s="13">
        <v>0.159527</v>
      </c>
      <c r="AA142" s="13">
        <v>0.3007</v>
      </c>
      <c r="AB142" s="13">
        <v>1.797</v>
      </c>
      <c r="AC142" s="13">
        <v>0.1282</v>
      </c>
      <c r="AD142" s="13">
        <v>0.2886</v>
      </c>
      <c r="AE142" s="13">
        <v>0.065876</v>
      </c>
      <c r="AF142" s="13">
        <v>0.521</v>
      </c>
      <c r="AG142" s="13">
        <v>15.4678945678014</v>
      </c>
      <c r="AH142" s="13">
        <f t="shared" si="17"/>
        <v>0.0336826707549801</v>
      </c>
      <c r="AI142" s="13">
        <v>1.6512</v>
      </c>
      <c r="AJ142" s="13">
        <f t="shared" si="18"/>
        <v>0.315528100775194</v>
      </c>
      <c r="AK142" s="13">
        <v>0.26353</v>
      </c>
      <c r="AL142" s="13">
        <v>0.337768</v>
      </c>
      <c r="AM142" s="13">
        <v>0.4368</v>
      </c>
      <c r="AN142" s="13">
        <v>1.8431</v>
      </c>
      <c r="AO142" s="13">
        <v>0.204240067304236</v>
      </c>
      <c r="AP142" s="13">
        <v>0.229113975040898</v>
      </c>
      <c r="AQ142" s="13">
        <v>0.024628</v>
      </c>
      <c r="AR142" s="13">
        <v>0.275</v>
      </c>
      <c r="AS142" s="13">
        <v>13.7355736052549</v>
      </c>
      <c r="AT142" s="13">
        <f t="shared" si="19"/>
        <v>0.0200210058861169</v>
      </c>
      <c r="AU142" s="13">
        <v>0.7605</v>
      </c>
      <c r="AV142" s="13">
        <f t="shared" si="20"/>
        <v>0.361604207758054</v>
      </c>
      <c r="AW142" s="13">
        <v>0.108267</v>
      </c>
      <c r="AX142" s="13">
        <v>0.212245</v>
      </c>
      <c r="AY142" s="13">
        <v>0.2954</v>
      </c>
      <c r="AZ142" s="13">
        <v>1.7907</v>
      </c>
      <c r="BA142" s="13">
        <v>0.058297551319184</v>
      </c>
      <c r="BB142" s="13">
        <v>0.284837487299455</v>
      </c>
      <c r="BC142" s="13">
        <v>-0.263291</v>
      </c>
    </row>
    <row r="143" spans="1:55">
      <c r="A143" s="8" t="s">
        <v>495</v>
      </c>
      <c r="B143" s="8" t="s">
        <v>496</v>
      </c>
      <c r="C143" s="8" t="s">
        <v>57</v>
      </c>
      <c r="D143" s="9">
        <v>11819</v>
      </c>
      <c r="E143" s="8" t="s">
        <v>58</v>
      </c>
      <c r="F143" s="8" t="s">
        <v>67</v>
      </c>
      <c r="G143" s="10">
        <v>32041470483.26</v>
      </c>
      <c r="H143" s="10">
        <v>2</v>
      </c>
      <c r="I143" s="9">
        <v>1197390062</v>
      </c>
      <c r="J143" s="9">
        <v>2429119230</v>
      </c>
      <c r="K143" s="11">
        <v>98.5749</v>
      </c>
      <c r="L143" s="12">
        <v>36096</v>
      </c>
      <c r="M143" s="12">
        <v>31225</v>
      </c>
      <c r="N143" s="9">
        <f t="shared" si="14"/>
        <v>4871</v>
      </c>
      <c r="O143" s="13">
        <v>23.8506</v>
      </c>
      <c r="P143" s="13">
        <v>13.29</v>
      </c>
      <c r="Q143" s="13">
        <v>12.14</v>
      </c>
      <c r="R143" s="8"/>
      <c r="S143" s="13">
        <v>94728</v>
      </c>
      <c r="T143" s="13">
        <v>0.6</v>
      </c>
      <c r="U143" s="13">
        <v>19.7544</v>
      </c>
      <c r="V143" s="13">
        <f t="shared" si="15"/>
        <v>0.0303729801968169</v>
      </c>
      <c r="W143" s="13">
        <v>0.74</v>
      </c>
      <c r="X143" s="13">
        <f t="shared" si="16"/>
        <v>0.810810810810811</v>
      </c>
      <c r="Y143" s="13">
        <v>0.120372</v>
      </c>
      <c r="Z143" s="13">
        <v>0.09161</v>
      </c>
      <c r="AA143" s="13">
        <v>0.7752</v>
      </c>
      <c r="AB143" s="13">
        <v>1.8208</v>
      </c>
      <c r="AC143" s="13">
        <v>0.0714</v>
      </c>
      <c r="AD143" s="13">
        <v>0.2187</v>
      </c>
      <c r="AE143" s="13">
        <v>0.229244</v>
      </c>
      <c r="AF143" s="13">
        <v>0.45</v>
      </c>
      <c r="AG143" s="13">
        <v>17.0691069667989</v>
      </c>
      <c r="AH143" s="13">
        <f t="shared" si="17"/>
        <v>0.0263634178914746</v>
      </c>
      <c r="AI143" s="13">
        <v>0.66</v>
      </c>
      <c r="AJ143" s="13">
        <f t="shared" si="18"/>
        <v>0.681818181818182</v>
      </c>
      <c r="AK143" s="13">
        <v>0.115121</v>
      </c>
      <c r="AL143" s="13">
        <v>0.090579</v>
      </c>
      <c r="AM143" s="13">
        <v>0.726</v>
      </c>
      <c r="AN143" s="13">
        <v>1.8661</v>
      </c>
      <c r="AO143" s="13">
        <v>0.156541437056005</v>
      </c>
      <c r="AP143" s="13">
        <v>0.431878246169007</v>
      </c>
      <c r="AQ143" s="13">
        <v>-0.111463</v>
      </c>
      <c r="AR143" s="13">
        <v>0.45</v>
      </c>
      <c r="AS143" s="13">
        <v>16.6950210017534</v>
      </c>
      <c r="AT143" s="13">
        <f t="shared" si="19"/>
        <v>0.0269541439901596</v>
      </c>
      <c r="AU143" s="13">
        <v>0.5</v>
      </c>
      <c r="AV143" s="13">
        <f t="shared" si="20"/>
        <v>0.9</v>
      </c>
      <c r="AW143" s="13">
        <v>0.084711</v>
      </c>
      <c r="AX143" s="13">
        <v>0.069254</v>
      </c>
      <c r="AY143" s="13">
        <v>0.6614</v>
      </c>
      <c r="AZ143" s="13">
        <v>1.8249</v>
      </c>
      <c r="BA143" s="13">
        <v>0.165387968255788</v>
      </c>
      <c r="BB143" s="13">
        <v>0.390276576817287</v>
      </c>
      <c r="BC143" s="13">
        <v>-0.07929</v>
      </c>
    </row>
    <row r="144" spans="1:55">
      <c r="A144" s="8" t="s">
        <v>497</v>
      </c>
      <c r="B144" s="8" t="s">
        <v>498</v>
      </c>
      <c r="C144" s="8" t="s">
        <v>89</v>
      </c>
      <c r="D144" s="9">
        <v>77957</v>
      </c>
      <c r="E144" s="8" t="s">
        <v>90</v>
      </c>
      <c r="F144" s="8" t="s">
        <v>171</v>
      </c>
      <c r="G144" s="10">
        <v>431900381000</v>
      </c>
      <c r="H144" s="10">
        <v>26</v>
      </c>
      <c r="I144" s="9">
        <v>1528768213</v>
      </c>
      <c r="J144" s="9">
        <v>10037480544</v>
      </c>
      <c r="K144" s="11">
        <v>59.0179</v>
      </c>
      <c r="L144" s="12">
        <v>35977</v>
      </c>
      <c r="M144" s="12">
        <v>35698</v>
      </c>
      <c r="N144" s="9">
        <f t="shared" si="14"/>
        <v>279</v>
      </c>
      <c r="O144" s="13">
        <v>43.79</v>
      </c>
      <c r="P144" s="13">
        <v>31.5</v>
      </c>
      <c r="Q144" s="13">
        <v>0.75</v>
      </c>
      <c r="R144" s="8" t="s">
        <v>499</v>
      </c>
      <c r="S144" s="13">
        <v>134248</v>
      </c>
      <c r="T144" s="13">
        <v>0.54</v>
      </c>
      <c r="U144" s="13">
        <v>19.6638</v>
      </c>
      <c r="V144" s="13">
        <f t="shared" si="15"/>
        <v>0.0274616300003051</v>
      </c>
      <c r="W144" s="13">
        <v>1.46</v>
      </c>
      <c r="X144" s="13">
        <f t="shared" si="16"/>
        <v>0.36986301369863</v>
      </c>
      <c r="Y144" s="13">
        <v>0.185784</v>
      </c>
      <c r="Z144" s="13">
        <v>0.150457</v>
      </c>
      <c r="AA144" s="13">
        <v>0.3903</v>
      </c>
      <c r="AB144" s="13">
        <v>4.5904</v>
      </c>
      <c r="AC144" s="13">
        <v>0.1606</v>
      </c>
      <c r="AD144" s="13">
        <v>0.3367</v>
      </c>
      <c r="AE144" s="13">
        <v>-0.072924</v>
      </c>
      <c r="AF144" s="13">
        <v>4.3</v>
      </c>
      <c r="AG144" s="13">
        <v>36.612297333282</v>
      </c>
      <c r="AH144" s="13">
        <f t="shared" si="17"/>
        <v>0.117446877502853</v>
      </c>
      <c r="AI144" s="13">
        <v>6.3012</v>
      </c>
      <c r="AJ144" s="13">
        <f t="shared" si="18"/>
        <v>0.682409699739732</v>
      </c>
      <c r="AK144" s="13">
        <v>0.377772</v>
      </c>
      <c r="AL144" s="13">
        <v>0.196377</v>
      </c>
      <c r="AM144" s="13">
        <v>0.6872</v>
      </c>
      <c r="AN144" s="13">
        <v>3.5876</v>
      </c>
      <c r="AO144" s="13">
        <v>0.266148611037368</v>
      </c>
      <c r="AP144" s="13">
        <v>0.545974230080992</v>
      </c>
      <c r="AQ144" s="13">
        <v>0.321325</v>
      </c>
      <c r="AR144" s="13">
        <v>1.49</v>
      </c>
      <c r="AS144" s="13">
        <v>25.8315420630749</v>
      </c>
      <c r="AT144" s="13">
        <f t="shared" si="19"/>
        <v>0.057681418955235</v>
      </c>
      <c r="AU144" s="13">
        <v>2.7421</v>
      </c>
      <c r="AV144" s="13">
        <f t="shared" si="20"/>
        <v>0.543379161956165</v>
      </c>
      <c r="AW144" s="13">
        <v>0.240573</v>
      </c>
      <c r="AX144" s="13">
        <v>0.18098</v>
      </c>
      <c r="AY144" s="13">
        <v>0.4616</v>
      </c>
      <c r="AZ144" s="13">
        <v>3.8827</v>
      </c>
      <c r="BA144" s="13">
        <v>0.107767859273456</v>
      </c>
      <c r="BB144" s="13">
        <v>0.313332066543367</v>
      </c>
      <c r="BC144" s="13">
        <v>-0.333143</v>
      </c>
    </row>
    <row r="145" spans="1:55">
      <c r="A145" s="8" t="s">
        <v>500</v>
      </c>
      <c r="B145" s="8" t="s">
        <v>501</v>
      </c>
      <c r="C145" s="8" t="s">
        <v>82</v>
      </c>
      <c r="D145" s="9">
        <v>40557</v>
      </c>
      <c r="E145" s="8" t="s">
        <v>198</v>
      </c>
      <c r="F145" s="8" t="s">
        <v>67</v>
      </c>
      <c r="G145" s="10">
        <v>118120738513.01</v>
      </c>
      <c r="H145" s="10">
        <v>0</v>
      </c>
      <c r="I145" s="9">
        <v>1228597870</v>
      </c>
      <c r="J145" s="9">
        <v>2670429325</v>
      </c>
      <c r="K145" s="11">
        <v>79.3314</v>
      </c>
      <c r="L145" s="12">
        <v>36014</v>
      </c>
      <c r="M145" s="12">
        <v>34850</v>
      </c>
      <c r="N145" s="9">
        <f t="shared" si="14"/>
        <v>1164</v>
      </c>
      <c r="O145" s="13">
        <v>33.32</v>
      </c>
      <c r="P145" s="13">
        <v>20.65</v>
      </c>
      <c r="Q145" s="13">
        <v>2.07</v>
      </c>
      <c r="R145" s="8" t="s">
        <v>502</v>
      </c>
      <c r="S145" s="13">
        <v>225464</v>
      </c>
      <c r="T145" s="13">
        <v>0.32</v>
      </c>
      <c r="U145" s="13">
        <v>24.7647</v>
      </c>
      <c r="V145" s="13">
        <f t="shared" si="15"/>
        <v>0.0129216182711682</v>
      </c>
      <c r="W145" s="13">
        <v>1.04</v>
      </c>
      <c r="X145" s="13">
        <f t="shared" si="16"/>
        <v>0.307692307692308</v>
      </c>
      <c r="Y145" s="13">
        <v>0.059602</v>
      </c>
      <c r="Z145" s="13">
        <v>0.085529</v>
      </c>
      <c r="AA145" s="13">
        <v>0.3557</v>
      </c>
      <c r="AB145" s="13">
        <v>2.4846</v>
      </c>
      <c r="AC145" s="13">
        <v>0.109</v>
      </c>
      <c r="AD145" s="13">
        <v>0.4323</v>
      </c>
      <c r="AE145" s="13">
        <v>-0.008028</v>
      </c>
      <c r="AF145" s="13">
        <v>0.42</v>
      </c>
      <c r="AG145" s="13">
        <v>42.8525979402617</v>
      </c>
      <c r="AH145" s="13">
        <f t="shared" si="17"/>
        <v>0.00980103938121785</v>
      </c>
      <c r="AI145" s="13">
        <v>1.43</v>
      </c>
      <c r="AJ145" s="13">
        <f t="shared" si="18"/>
        <v>0.293706293706294</v>
      </c>
      <c r="AK145" s="13">
        <v>0.089068</v>
      </c>
      <c r="AL145" s="13">
        <v>0.089814</v>
      </c>
      <c r="AM145" s="13">
        <v>0.4385</v>
      </c>
      <c r="AN145" s="13">
        <v>2.3928</v>
      </c>
      <c r="AO145" s="13">
        <v>0.0959595552557839</v>
      </c>
      <c r="AP145" s="13">
        <v>0.516386935561701</v>
      </c>
      <c r="AQ145" s="13">
        <v>0.12664</v>
      </c>
      <c r="AR145" s="13">
        <v>0.27</v>
      </c>
      <c r="AS145" s="13">
        <v>31.189765834328</v>
      </c>
      <c r="AT145" s="13">
        <f t="shared" si="19"/>
        <v>0.00865668570370712</v>
      </c>
      <c r="AU145" s="13">
        <v>0.89</v>
      </c>
      <c r="AV145" s="13">
        <f t="shared" si="20"/>
        <v>0.303370786516854</v>
      </c>
      <c r="AW145" s="13">
        <v>0.052871</v>
      </c>
      <c r="AX145" s="13">
        <v>0.06993</v>
      </c>
      <c r="AY145" s="13">
        <v>0.3753</v>
      </c>
      <c r="AZ145" s="13">
        <v>2.4442</v>
      </c>
      <c r="BA145" s="13">
        <v>0.0824699283502419</v>
      </c>
      <c r="BB145" s="13">
        <v>0.462313301246676</v>
      </c>
      <c r="BC145" s="13">
        <v>-0.058064</v>
      </c>
    </row>
    <row r="146" spans="1:55">
      <c r="A146" s="8" t="s">
        <v>503</v>
      </c>
      <c r="B146" s="8" t="s">
        <v>504</v>
      </c>
      <c r="C146" s="8" t="s">
        <v>232</v>
      </c>
      <c r="D146" s="9">
        <v>16441</v>
      </c>
      <c r="E146" s="8" t="s">
        <v>90</v>
      </c>
      <c r="F146" s="8" t="s">
        <v>67</v>
      </c>
      <c r="G146" s="10">
        <v>73294430939.75</v>
      </c>
      <c r="H146" s="10">
        <v>0</v>
      </c>
      <c r="I146" s="9">
        <v>6166679873</v>
      </c>
      <c r="J146" s="9">
        <v>11483701559</v>
      </c>
      <c r="K146" s="11">
        <v>100</v>
      </c>
      <c r="L146" s="12">
        <v>36517</v>
      </c>
      <c r="M146" s="12">
        <v>34046</v>
      </c>
      <c r="N146" s="9">
        <f t="shared" si="14"/>
        <v>2471</v>
      </c>
      <c r="O146" s="13">
        <v>22.22</v>
      </c>
      <c r="P146" s="13">
        <v>18.48</v>
      </c>
      <c r="Q146" s="13">
        <v>5.41</v>
      </c>
      <c r="R146" s="8" t="s">
        <v>505</v>
      </c>
      <c r="S146" s="13">
        <v>183707</v>
      </c>
      <c r="T146" s="13">
        <v>0.09</v>
      </c>
      <c r="U146" s="13">
        <v>3.7286</v>
      </c>
      <c r="V146" s="13">
        <f t="shared" si="15"/>
        <v>0.0241377460709113</v>
      </c>
      <c r="W146" s="13">
        <v>0.41</v>
      </c>
      <c r="X146" s="13">
        <f t="shared" si="16"/>
        <v>0.219512195121951</v>
      </c>
      <c r="Y146" s="13">
        <v>0.09791</v>
      </c>
      <c r="Z146" s="13">
        <v>0.177921</v>
      </c>
      <c r="AA146" s="13">
        <v>0.4814</v>
      </c>
      <c r="AB146" s="13">
        <v>1.4097</v>
      </c>
      <c r="AC146" s="13">
        <v>0.2275</v>
      </c>
      <c r="AD146" s="13">
        <v>2.037</v>
      </c>
      <c r="AE146" s="13">
        <v>0.160645</v>
      </c>
      <c r="AF146" s="13">
        <v>0.04</v>
      </c>
      <c r="AG146" s="13">
        <v>3.79175867133455</v>
      </c>
      <c r="AH146" s="13">
        <f t="shared" si="17"/>
        <v>0.0105491945735886</v>
      </c>
      <c r="AI146" s="13">
        <v>0.29</v>
      </c>
      <c r="AJ146" s="13">
        <f t="shared" si="18"/>
        <v>0.137931034482759</v>
      </c>
      <c r="AK146" s="13">
        <v>0.079926</v>
      </c>
      <c r="AL146" s="13">
        <v>0.112839</v>
      </c>
      <c r="AM146" s="13">
        <v>0.5465</v>
      </c>
      <c r="AN146" s="13">
        <v>1.454</v>
      </c>
      <c r="AO146" s="13">
        <v>0.190799181455507</v>
      </c>
      <c r="AP146" s="13">
        <v>1.60707010802768</v>
      </c>
      <c r="AQ146" s="13">
        <v>0.216752</v>
      </c>
      <c r="AR146" s="13">
        <v>0.12</v>
      </c>
      <c r="AS146" s="13">
        <v>3.24558886762625</v>
      </c>
      <c r="AT146" s="13">
        <f t="shared" si="19"/>
        <v>0.0369732596746812</v>
      </c>
      <c r="AU146" s="13">
        <v>0.3</v>
      </c>
      <c r="AV146" s="13">
        <f t="shared" si="20"/>
        <v>0.4</v>
      </c>
      <c r="AW146" s="13">
        <v>0.074352</v>
      </c>
      <c r="AX146" s="13">
        <v>0.138772</v>
      </c>
      <c r="AY146" s="13">
        <v>0.432</v>
      </c>
      <c r="AZ146" s="13">
        <v>1.4291</v>
      </c>
      <c r="BA146" s="13">
        <v>0.146666760627143</v>
      </c>
      <c r="BB146" s="13">
        <v>1.94572296215559</v>
      </c>
      <c r="BC146" s="13">
        <v>-0.174747</v>
      </c>
    </row>
    <row r="147" spans="1:55">
      <c r="A147" s="8" t="s">
        <v>506</v>
      </c>
      <c r="B147" s="8" t="s">
        <v>507</v>
      </c>
      <c r="C147" s="8" t="s">
        <v>82</v>
      </c>
      <c r="D147" s="9">
        <v>19497</v>
      </c>
      <c r="E147" s="8" t="s">
        <v>508</v>
      </c>
      <c r="F147" s="8" t="s">
        <v>184</v>
      </c>
      <c r="G147" s="10">
        <v>51669633055.97</v>
      </c>
      <c r="H147" s="10">
        <v>3</v>
      </c>
      <c r="I147" s="9">
        <v>1613703802</v>
      </c>
      <c r="J147" s="9">
        <v>3422539846</v>
      </c>
      <c r="K147" s="11">
        <v>100</v>
      </c>
      <c r="L147" s="12">
        <v>36685</v>
      </c>
      <c r="M147" s="12">
        <v>33960</v>
      </c>
      <c r="N147" s="9">
        <f t="shared" si="14"/>
        <v>2725</v>
      </c>
      <c r="O147" s="13">
        <v>30.7</v>
      </c>
      <c r="P147" s="13">
        <v>9.15</v>
      </c>
      <c r="Q147" s="13">
        <v>7.8982</v>
      </c>
      <c r="R147" s="8"/>
      <c r="S147" s="13">
        <v>35037</v>
      </c>
      <c r="T147" s="13">
        <v>0.36</v>
      </c>
      <c r="U147" s="13">
        <v>15.2174</v>
      </c>
      <c r="V147" s="13">
        <f t="shared" si="15"/>
        <v>0.0236571293387832</v>
      </c>
      <c r="W147" s="13">
        <v>1.1649</v>
      </c>
      <c r="X147" s="13">
        <f t="shared" si="16"/>
        <v>0.309039402523822</v>
      </c>
      <c r="Y147" s="13">
        <v>0.132702</v>
      </c>
      <c r="Z147" s="13">
        <v>0.057787</v>
      </c>
      <c r="AA147" s="13">
        <v>1.5063</v>
      </c>
      <c r="AB147" s="13">
        <v>1.5158</v>
      </c>
      <c r="AC147" s="13">
        <v>0.0848</v>
      </c>
      <c r="AD147" s="13">
        <v>0.705</v>
      </c>
      <c r="AE147" s="13">
        <v>0.196731</v>
      </c>
      <c r="AF147" s="13">
        <v>0.25</v>
      </c>
      <c r="AG147" s="13">
        <v>18.9054473348009</v>
      </c>
      <c r="AH147" s="13">
        <f t="shared" si="17"/>
        <v>0.0132237019083808</v>
      </c>
      <c r="AI147" s="13">
        <v>1.1402</v>
      </c>
      <c r="AJ147" s="13">
        <f t="shared" si="18"/>
        <v>0.219259778986143</v>
      </c>
      <c r="AK147" s="13">
        <v>0.15909</v>
      </c>
      <c r="AL147" s="13">
        <v>0.074041</v>
      </c>
      <c r="AM147" s="13">
        <v>1.4573</v>
      </c>
      <c r="AN147" s="13">
        <v>1.4912</v>
      </c>
      <c r="AO147" s="13">
        <v>0.138039123876662</v>
      </c>
      <c r="AP147" s="13">
        <v>0.985279947381603</v>
      </c>
      <c r="AQ147" s="13">
        <v>0.18568</v>
      </c>
      <c r="AR147" s="13">
        <v>0.35</v>
      </c>
      <c r="AS147" s="13">
        <v>16.6006831739911</v>
      </c>
      <c r="AT147" s="13">
        <f t="shared" si="19"/>
        <v>0.021083469657945</v>
      </c>
      <c r="AU147" s="13">
        <v>1.0815</v>
      </c>
      <c r="AV147" s="13">
        <f t="shared" si="20"/>
        <v>0.323624595469256</v>
      </c>
      <c r="AW147" s="13">
        <v>0.134214</v>
      </c>
      <c r="AX147" s="13">
        <v>0.065041</v>
      </c>
      <c r="AY147" s="13">
        <v>1.3963</v>
      </c>
      <c r="AZ147" s="13">
        <v>1.4895</v>
      </c>
      <c r="BA147" s="13">
        <v>0.104668951931985</v>
      </c>
      <c r="BB147" s="13">
        <v>0.812944983237778</v>
      </c>
      <c r="BC147" s="13">
        <v>0.07742</v>
      </c>
    </row>
    <row r="148" spans="1:55">
      <c r="A148" s="8" t="s">
        <v>509</v>
      </c>
      <c r="B148" s="8" t="s">
        <v>510</v>
      </c>
      <c r="C148" s="8" t="s">
        <v>82</v>
      </c>
      <c r="D148" s="9">
        <v>20325</v>
      </c>
      <c r="E148" s="8" t="s">
        <v>83</v>
      </c>
      <c r="F148" s="8" t="s">
        <v>67</v>
      </c>
      <c r="G148" s="10">
        <v>68327540485.78</v>
      </c>
      <c r="H148" s="10">
        <v>0</v>
      </c>
      <c r="I148" s="9">
        <v>3888065783</v>
      </c>
      <c r="J148" s="9">
        <v>6637199874</v>
      </c>
      <c r="K148" s="11">
        <v>96.1098</v>
      </c>
      <c r="L148" s="12">
        <v>36817</v>
      </c>
      <c r="M148" s="12">
        <v>35548</v>
      </c>
      <c r="N148" s="9">
        <f t="shared" si="14"/>
        <v>1269</v>
      </c>
      <c r="O148" s="13">
        <v>23.18</v>
      </c>
      <c r="P148" s="13">
        <v>14.35</v>
      </c>
      <c r="Q148" s="13">
        <v>7.34</v>
      </c>
      <c r="R148" s="8" t="s">
        <v>511</v>
      </c>
      <c r="S148" s="13">
        <v>397246</v>
      </c>
      <c r="T148" s="13">
        <v>0.2</v>
      </c>
      <c r="U148" s="13">
        <v>45.2283</v>
      </c>
      <c r="V148" s="13">
        <f t="shared" si="15"/>
        <v>0.00442201011313713</v>
      </c>
      <c r="W148" s="13">
        <v>1</v>
      </c>
      <c r="X148" s="13">
        <f t="shared" si="16"/>
        <v>0.2</v>
      </c>
      <c r="Y148" s="13">
        <v>0.147386</v>
      </c>
      <c r="Z148" s="13">
        <v>0.226446</v>
      </c>
      <c r="AA148" s="13">
        <v>0.5959</v>
      </c>
      <c r="AB148" s="13">
        <v>1.0923</v>
      </c>
      <c r="AC148" s="13">
        <v>0.2652</v>
      </c>
      <c r="AD148" s="13">
        <v>6.946</v>
      </c>
      <c r="AE148" s="13">
        <v>0.226331</v>
      </c>
      <c r="AF148" s="13">
        <v>0.16</v>
      </c>
      <c r="AG148" s="13">
        <v>37.0582318786771</v>
      </c>
      <c r="AH148" s="13">
        <f t="shared" si="17"/>
        <v>0.00431752924758567</v>
      </c>
      <c r="AI148" s="13">
        <v>0.61</v>
      </c>
      <c r="AJ148" s="13">
        <f t="shared" si="18"/>
        <v>0.262295081967213</v>
      </c>
      <c r="AK148" s="13">
        <v>0.107277</v>
      </c>
      <c r="AL148" s="13">
        <v>0.17932</v>
      </c>
      <c r="AM148" s="13">
        <v>0.5213</v>
      </c>
      <c r="AN148" s="13">
        <v>1.1208</v>
      </c>
      <c r="AO148" s="13">
        <v>0.059471141442587</v>
      </c>
      <c r="AP148" s="13">
        <v>5.04887509222608</v>
      </c>
      <c r="AQ148" s="13">
        <v>-0.178736</v>
      </c>
      <c r="AR148" s="13">
        <v>0.2</v>
      </c>
      <c r="AS148" s="13">
        <v>44.3810802613899</v>
      </c>
      <c r="AT148" s="13">
        <f t="shared" si="19"/>
        <v>0.00450642478331005</v>
      </c>
      <c r="AU148" s="13">
        <v>0.68</v>
      </c>
      <c r="AV148" s="13">
        <f t="shared" si="20"/>
        <v>0.294117647058824</v>
      </c>
      <c r="AW148" s="13">
        <v>0.109911</v>
      </c>
      <c r="AX148" s="13">
        <v>0.187461</v>
      </c>
      <c r="AY148" s="13">
        <v>0.5298</v>
      </c>
      <c r="AZ148" s="13">
        <v>1.1003</v>
      </c>
      <c r="BA148" s="13">
        <v>0.334957807935975</v>
      </c>
      <c r="BB148" s="13">
        <v>8.29045274377706</v>
      </c>
      <c r="BC148" s="13">
        <v>0.072597</v>
      </c>
    </row>
    <row r="149" spans="1:55">
      <c r="A149" s="8" t="s">
        <v>512</v>
      </c>
      <c r="B149" s="8" t="s">
        <v>513</v>
      </c>
      <c r="C149" s="8" t="s">
        <v>89</v>
      </c>
      <c r="D149" s="9">
        <v>33303</v>
      </c>
      <c r="E149" s="8" t="s">
        <v>90</v>
      </c>
      <c r="F149" s="8" t="s">
        <v>67</v>
      </c>
      <c r="G149" s="10">
        <v>328323752607.71</v>
      </c>
      <c r="H149" s="10">
        <v>0</v>
      </c>
      <c r="I149" s="9">
        <v>1820519021</v>
      </c>
      <c r="J149" s="9">
        <v>3130471626</v>
      </c>
      <c r="K149" s="11">
        <v>100</v>
      </c>
      <c r="L149" s="12">
        <v>36896</v>
      </c>
      <c r="M149" s="12">
        <v>36145</v>
      </c>
      <c r="N149" s="9">
        <f t="shared" si="14"/>
        <v>751</v>
      </c>
      <c r="O149" s="13">
        <v>21.65</v>
      </c>
      <c r="P149" s="13">
        <v>10.55</v>
      </c>
      <c r="Q149" s="13">
        <v>9.64</v>
      </c>
      <c r="R149" s="8"/>
      <c r="S149" s="13">
        <v>243601</v>
      </c>
      <c r="T149" s="13">
        <v>0.73</v>
      </c>
      <c r="U149" s="13">
        <v>78.8102</v>
      </c>
      <c r="V149" s="13">
        <f t="shared" si="15"/>
        <v>0.00926276040411013</v>
      </c>
      <c r="W149" s="13">
        <v>4.15</v>
      </c>
      <c r="X149" s="13">
        <f t="shared" si="16"/>
        <v>0.175903614457831</v>
      </c>
      <c r="Y149" s="13">
        <v>0.142219</v>
      </c>
      <c r="Z149" s="13">
        <v>0.08124</v>
      </c>
      <c r="AA149" s="13">
        <v>0.6665</v>
      </c>
      <c r="AB149" s="13">
        <v>2.9811</v>
      </c>
      <c r="AC149" s="13">
        <v>0.1651</v>
      </c>
      <c r="AD149" s="13">
        <v>0.1946</v>
      </c>
      <c r="AE149" s="13">
        <v>0.038254</v>
      </c>
      <c r="AF149" s="13">
        <v>1.6</v>
      </c>
      <c r="AG149" s="13">
        <v>88.0181748013021</v>
      </c>
      <c r="AH149" s="13">
        <f t="shared" si="17"/>
        <v>0.0181780638329748</v>
      </c>
      <c r="AI149" s="13">
        <v>5.17</v>
      </c>
      <c r="AJ149" s="13">
        <f t="shared" si="18"/>
        <v>0.309477756286267</v>
      </c>
      <c r="AK149" s="13">
        <v>0.223384</v>
      </c>
      <c r="AL149" s="13">
        <v>0.102932</v>
      </c>
      <c r="AM149" s="13">
        <v>0.8466</v>
      </c>
      <c r="AN149" s="13">
        <v>2.6912</v>
      </c>
      <c r="AO149" s="13">
        <v>0.219471015095851</v>
      </c>
      <c r="AP149" s="13">
        <v>0.199846425602309</v>
      </c>
      <c r="AQ149" s="13">
        <v>0.137611</v>
      </c>
      <c r="AR149" s="13">
        <v>1.625</v>
      </c>
      <c r="AS149" s="13">
        <v>90.8905358003758</v>
      </c>
      <c r="AT149" s="13">
        <f t="shared" si="19"/>
        <v>0.0178786491430638</v>
      </c>
      <c r="AU149" s="13">
        <v>5.36</v>
      </c>
      <c r="AV149" s="13">
        <f t="shared" si="20"/>
        <v>0.303171641791045</v>
      </c>
      <c r="AW149" s="13">
        <v>0.203211</v>
      </c>
      <c r="AX149" s="13">
        <v>0.104355</v>
      </c>
      <c r="AY149" s="13">
        <v>0.7727</v>
      </c>
      <c r="AZ149" s="13">
        <v>2.7425</v>
      </c>
      <c r="BA149" s="13">
        <v>0.152809133062495</v>
      </c>
      <c r="BB149" s="13">
        <v>0.218208466378421</v>
      </c>
      <c r="BC149" s="13">
        <v>0.059164</v>
      </c>
    </row>
    <row r="150" spans="1:55">
      <c r="A150" s="8" t="s">
        <v>514</v>
      </c>
      <c r="B150" s="8" t="s">
        <v>515</v>
      </c>
      <c r="C150" s="8" t="s">
        <v>82</v>
      </c>
      <c r="D150" s="9">
        <v>38300</v>
      </c>
      <c r="E150" s="8" t="s">
        <v>508</v>
      </c>
      <c r="F150" s="8" t="s">
        <v>67</v>
      </c>
      <c r="G150" s="10">
        <v>274071228646.76</v>
      </c>
      <c r="H150" s="10">
        <v>0</v>
      </c>
      <c r="I150" s="9">
        <v>1760981052</v>
      </c>
      <c r="J150" s="9">
        <v>7039099786</v>
      </c>
      <c r="K150" s="11">
        <v>100</v>
      </c>
      <c r="L150" s="12">
        <v>37123</v>
      </c>
      <c r="M150" s="12">
        <v>36228</v>
      </c>
      <c r="N150" s="9">
        <f t="shared" si="14"/>
        <v>895</v>
      </c>
      <c r="O150" s="13">
        <v>29.84</v>
      </c>
      <c r="P150" s="13">
        <v>21.29</v>
      </c>
      <c r="Q150" s="13">
        <v>11.24</v>
      </c>
      <c r="R150" s="8" t="s">
        <v>516</v>
      </c>
      <c r="S150" s="13">
        <v>67317</v>
      </c>
      <c r="T150" s="13">
        <v>0.45</v>
      </c>
      <c r="U150" s="13">
        <v>14.2039</v>
      </c>
      <c r="V150" s="13">
        <f t="shared" si="15"/>
        <v>0.0316814396046156</v>
      </c>
      <c r="W150" s="13">
        <v>1</v>
      </c>
      <c r="X150" s="13">
        <f t="shared" si="16"/>
        <v>0.45</v>
      </c>
      <c r="Y150" s="13">
        <v>0.114166</v>
      </c>
      <c r="Z150" s="13">
        <v>0.029835</v>
      </c>
      <c r="AA150" s="13">
        <v>0.8859</v>
      </c>
      <c r="AB150" s="13">
        <v>4.3251</v>
      </c>
      <c r="AC150" s="13">
        <v>0.0962</v>
      </c>
      <c r="AD150" s="13">
        <v>0.2391</v>
      </c>
      <c r="AE150" s="13">
        <v>0.006533</v>
      </c>
      <c r="AF150" s="13"/>
      <c r="AG150" s="13">
        <v>21.3318830329282</v>
      </c>
      <c r="AH150" s="13">
        <f t="shared" si="17"/>
        <v>0</v>
      </c>
      <c r="AI150" s="13">
        <v>0.33</v>
      </c>
      <c r="AJ150" s="13">
        <f t="shared" si="18"/>
        <v>0</v>
      </c>
      <c r="AK150" s="13">
        <v>0.042115</v>
      </c>
      <c r="AL150" s="13">
        <v>0.010424</v>
      </c>
      <c r="AM150" s="13">
        <v>0.9845</v>
      </c>
      <c r="AN150" s="13">
        <v>4.1031</v>
      </c>
      <c r="AO150" s="13">
        <v>0.116713891556736</v>
      </c>
      <c r="AP150" s="13">
        <v>0.227891556033397</v>
      </c>
      <c r="AQ150" s="13">
        <v>0.123113</v>
      </c>
      <c r="AR150" s="13">
        <v>0.55</v>
      </c>
      <c r="AS150" s="13">
        <v>15.4846915853075</v>
      </c>
      <c r="AT150" s="13">
        <f t="shared" si="19"/>
        <v>0.0355189508922388</v>
      </c>
      <c r="AU150" s="13">
        <v>0.98</v>
      </c>
      <c r="AV150" s="13">
        <f t="shared" si="20"/>
        <v>0.561224489795918</v>
      </c>
      <c r="AW150" s="13">
        <v>0.122362</v>
      </c>
      <c r="AX150" s="13">
        <v>0.029397</v>
      </c>
      <c r="AY150" s="13">
        <v>0.9357</v>
      </c>
      <c r="AZ150" s="13">
        <v>4.4484</v>
      </c>
      <c r="BA150" s="13">
        <v>0.100209385713588</v>
      </c>
      <c r="BB150" s="13">
        <v>0.167669723476405</v>
      </c>
      <c r="BC150" s="13">
        <v>0.056183</v>
      </c>
    </row>
    <row r="151" spans="1:55">
      <c r="A151" s="8" t="s">
        <v>517</v>
      </c>
      <c r="B151" s="8" t="s">
        <v>518</v>
      </c>
      <c r="C151" s="8" t="s">
        <v>89</v>
      </c>
      <c r="D151" s="9">
        <v>26369</v>
      </c>
      <c r="E151" s="8" t="s">
        <v>259</v>
      </c>
      <c r="F151" s="8" t="s">
        <v>67</v>
      </c>
      <c r="G151" s="10">
        <v>235502162341</v>
      </c>
      <c r="H151" s="10">
        <v>0</v>
      </c>
      <c r="I151" s="9">
        <v>869768295</v>
      </c>
      <c r="J151" s="9">
        <v>3462729405</v>
      </c>
      <c r="K151" s="11">
        <v>59.931</v>
      </c>
      <c r="L151" s="12">
        <v>37267</v>
      </c>
      <c r="M151" s="12">
        <v>35454</v>
      </c>
      <c r="N151" s="9">
        <f t="shared" si="14"/>
        <v>1813</v>
      </c>
      <c r="O151" s="13">
        <v>45.72</v>
      </c>
      <c r="P151" s="13">
        <v>31.02</v>
      </c>
      <c r="Q151" s="13">
        <v>3</v>
      </c>
      <c r="R151" s="8" t="s">
        <v>519</v>
      </c>
      <c r="S151" s="13">
        <v>167630</v>
      </c>
      <c r="T151" s="13">
        <v>0.7</v>
      </c>
      <c r="U151" s="13">
        <v>22.8967</v>
      </c>
      <c r="V151" s="13">
        <f t="shared" si="15"/>
        <v>0.0305720911747108</v>
      </c>
      <c r="W151" s="13">
        <v>2.01</v>
      </c>
      <c r="X151" s="13">
        <f t="shared" si="16"/>
        <v>0.348258706467662</v>
      </c>
      <c r="Y151" s="13">
        <v>0.095788</v>
      </c>
      <c r="Z151" s="13">
        <v>0.014251</v>
      </c>
      <c r="AA151" s="13">
        <v>2.8838</v>
      </c>
      <c r="AB151" s="13">
        <v>2.4853</v>
      </c>
      <c r="AC151" s="13">
        <v>0.0048</v>
      </c>
      <c r="AD151" s="13">
        <v>0.4301</v>
      </c>
      <c r="AE151" s="13">
        <v>-0.001848</v>
      </c>
      <c r="AF151" s="13">
        <v>0.5</v>
      </c>
      <c r="AG151" s="13">
        <v>18.6602446360576</v>
      </c>
      <c r="AH151" s="13">
        <f t="shared" si="17"/>
        <v>0.0267949327434775</v>
      </c>
      <c r="AI151" s="13">
        <v>1.73</v>
      </c>
      <c r="AJ151" s="13">
        <f t="shared" si="18"/>
        <v>0.289017341040462</v>
      </c>
      <c r="AK151" s="13">
        <v>0.083646</v>
      </c>
      <c r="AL151" s="13">
        <v>0.012687</v>
      </c>
      <c r="AM151" s="13">
        <v>2.9232</v>
      </c>
      <c r="AN151" s="13">
        <v>2.2912</v>
      </c>
      <c r="AO151" s="13">
        <v>0.022172278752606</v>
      </c>
      <c r="AP151" s="13">
        <v>0.503688009684044</v>
      </c>
      <c r="AQ151" s="13">
        <v>0.08395</v>
      </c>
      <c r="AR151" s="13">
        <v>0.6</v>
      </c>
      <c r="AS151" s="13">
        <v>19.2007926072591</v>
      </c>
      <c r="AT151" s="13">
        <f t="shared" si="19"/>
        <v>0.0312487100023758</v>
      </c>
      <c r="AU151" s="13">
        <v>1.88</v>
      </c>
      <c r="AV151" s="13">
        <f t="shared" si="20"/>
        <v>0.319148936170213</v>
      </c>
      <c r="AW151" s="13">
        <v>0.09231</v>
      </c>
      <c r="AX151" s="13">
        <v>0.013366</v>
      </c>
      <c r="AY151" s="13">
        <v>3.1113</v>
      </c>
      <c r="AZ151" s="13">
        <v>2.3803</v>
      </c>
      <c r="BA151" s="13">
        <v>0.0209452602177268</v>
      </c>
      <c r="BB151" s="13">
        <v>0.620692657314741</v>
      </c>
      <c r="BC151" s="13">
        <v>0.087416</v>
      </c>
    </row>
    <row r="152" spans="1:55">
      <c r="A152" s="8" t="s">
        <v>520</v>
      </c>
      <c r="B152" s="8" t="s">
        <v>521</v>
      </c>
      <c r="C152" s="8" t="s">
        <v>77</v>
      </c>
      <c r="D152" s="9">
        <v>32946</v>
      </c>
      <c r="E152" s="8" t="s">
        <v>132</v>
      </c>
      <c r="F152" s="8" t="s">
        <v>67</v>
      </c>
      <c r="G152" s="10">
        <v>81299944910.48</v>
      </c>
      <c r="H152" s="10">
        <v>0</v>
      </c>
      <c r="I152" s="9">
        <v>2164839724</v>
      </c>
      <c r="J152" s="9">
        <v>4838896630</v>
      </c>
      <c r="K152" s="11">
        <v>100</v>
      </c>
      <c r="L152" s="12">
        <v>37078</v>
      </c>
      <c r="M152" s="12">
        <v>36490</v>
      </c>
      <c r="N152" s="9">
        <f t="shared" si="14"/>
        <v>588</v>
      </c>
      <c r="O152" s="13">
        <v>25.68</v>
      </c>
      <c r="P152" s="13">
        <v>16.5</v>
      </c>
      <c r="Q152" s="13">
        <v>6.31</v>
      </c>
      <c r="R152" s="8" t="s">
        <v>522</v>
      </c>
      <c r="S152" s="13">
        <v>168488</v>
      </c>
      <c r="T152" s="13">
        <v>0.07</v>
      </c>
      <c r="U152" s="13">
        <v>12.232</v>
      </c>
      <c r="V152" s="13">
        <f t="shared" si="15"/>
        <v>0.00572269457161544</v>
      </c>
      <c r="W152" s="13">
        <v>0.2151</v>
      </c>
      <c r="X152" s="13">
        <f t="shared" si="16"/>
        <v>0.325430032543003</v>
      </c>
      <c r="Y152" s="13">
        <v>0.028304</v>
      </c>
      <c r="Z152" s="13">
        <v>0.049983</v>
      </c>
      <c r="AA152" s="13">
        <v>0.3149</v>
      </c>
      <c r="AB152" s="13">
        <v>2.0621</v>
      </c>
      <c r="AC152" s="13">
        <v>-0.0833</v>
      </c>
      <c r="AD152" s="13">
        <v>0.4956</v>
      </c>
      <c r="AE152" s="13">
        <v>-0.176758</v>
      </c>
      <c r="AF152" s="13"/>
      <c r="AG152" s="13">
        <v>18.9023724796144</v>
      </c>
      <c r="AH152" s="13">
        <f t="shared" si="17"/>
        <v>0</v>
      </c>
      <c r="AI152" s="13">
        <v>0.4546</v>
      </c>
      <c r="AJ152" s="13">
        <f t="shared" si="18"/>
        <v>0</v>
      </c>
      <c r="AK152" s="13">
        <v>0.074451</v>
      </c>
      <c r="AL152" s="13">
        <v>0.080626</v>
      </c>
      <c r="AM152" s="13">
        <v>0.4093</v>
      </c>
      <c r="AN152" s="13">
        <v>2.3339</v>
      </c>
      <c r="AO152" s="13">
        <v>-0.0709500114096746</v>
      </c>
      <c r="AP152" s="13">
        <v>0.362577209933393</v>
      </c>
      <c r="AQ152" s="13">
        <v>0.136896</v>
      </c>
      <c r="AR152" s="13">
        <v>0.126</v>
      </c>
      <c r="AS152" s="13">
        <v>15.2253484939061</v>
      </c>
      <c r="AT152" s="13">
        <f t="shared" si="19"/>
        <v>0.00827567264226701</v>
      </c>
      <c r="AU152" s="13">
        <v>0.437</v>
      </c>
      <c r="AV152" s="13">
        <f t="shared" si="20"/>
        <v>0.288329519450801</v>
      </c>
      <c r="AW152" s="13">
        <v>0.078163</v>
      </c>
      <c r="AX152" s="13">
        <v>0.074089</v>
      </c>
      <c r="AY152" s="13">
        <v>0.5692</v>
      </c>
      <c r="AZ152" s="13">
        <v>2.1116</v>
      </c>
      <c r="BA152" s="13">
        <v>-0.035069492917045</v>
      </c>
      <c r="BB152" s="13">
        <v>0.673100237281047</v>
      </c>
      <c r="BC152" s="13">
        <v>0.046338</v>
      </c>
    </row>
    <row r="153" spans="1:55">
      <c r="A153" s="8" t="s">
        <v>523</v>
      </c>
      <c r="B153" s="8" t="s">
        <v>524</v>
      </c>
      <c r="C153" s="8" t="s">
        <v>89</v>
      </c>
      <c r="D153" s="9">
        <v>4579</v>
      </c>
      <c r="E153" s="8" t="s">
        <v>83</v>
      </c>
      <c r="F153" s="8" t="s">
        <v>184</v>
      </c>
      <c r="G153" s="10">
        <v>92852431711.74</v>
      </c>
      <c r="H153" s="10">
        <v>0</v>
      </c>
      <c r="I153" s="9">
        <v>470545099</v>
      </c>
      <c r="J153" s="9">
        <v>5037747500</v>
      </c>
      <c r="K153" s="11">
        <v>75.4739</v>
      </c>
      <c r="L153" s="12">
        <v>36907</v>
      </c>
      <c r="M153" s="12">
        <v>33817</v>
      </c>
      <c r="N153" s="9">
        <f t="shared" si="14"/>
        <v>3090</v>
      </c>
      <c r="O153" s="13">
        <v>54.44</v>
      </c>
      <c r="P153" s="13">
        <v>11.69</v>
      </c>
      <c r="Q153" s="13">
        <v>2.49</v>
      </c>
      <c r="R153" s="8" t="s">
        <v>525</v>
      </c>
      <c r="S153" s="13">
        <v>37752</v>
      </c>
      <c r="T153" s="13">
        <v>0.49</v>
      </c>
      <c r="U153" s="13">
        <v>12.7546</v>
      </c>
      <c r="V153" s="13">
        <f t="shared" si="15"/>
        <v>0.0384175121132768</v>
      </c>
      <c r="W153" s="13">
        <v>0.9819</v>
      </c>
      <c r="X153" s="13">
        <f t="shared" si="16"/>
        <v>0.499032488033405</v>
      </c>
      <c r="Y153" s="13">
        <v>0.136302</v>
      </c>
      <c r="Z153" s="13">
        <v>0.22288</v>
      </c>
      <c r="AA153" s="13">
        <v>0.2753</v>
      </c>
      <c r="AB153" s="13">
        <v>2.3221</v>
      </c>
      <c r="AC153" s="13">
        <v>0.2723</v>
      </c>
      <c r="AD153" s="13">
        <v>0.2471</v>
      </c>
      <c r="AE153" s="13">
        <v>0.527</v>
      </c>
      <c r="AF153" s="13">
        <v>0.46</v>
      </c>
      <c r="AG153" s="13">
        <v>8.2786327881922</v>
      </c>
      <c r="AH153" s="13">
        <f t="shared" si="17"/>
        <v>0.0555647305260474</v>
      </c>
      <c r="AI153" s="13">
        <v>0.7392</v>
      </c>
      <c r="AJ153" s="13">
        <f t="shared" si="18"/>
        <v>0.622294372294372</v>
      </c>
      <c r="AK153" s="13">
        <v>0.119802</v>
      </c>
      <c r="AL153" s="13">
        <v>0.282748</v>
      </c>
      <c r="AM153" s="13">
        <v>0.1814</v>
      </c>
      <c r="AN153" s="13">
        <v>2.3503</v>
      </c>
      <c r="AO153" s="13">
        <v>0.417025238423182</v>
      </c>
      <c r="AP153" s="13">
        <v>0.323091157536493</v>
      </c>
      <c r="AQ153" s="13">
        <v>-0.070469</v>
      </c>
      <c r="AR153" s="13">
        <v>0.47</v>
      </c>
      <c r="AS153" s="13">
        <v>9.54511783837692</v>
      </c>
      <c r="AT153" s="13">
        <f t="shared" si="19"/>
        <v>0.0492398321276168</v>
      </c>
      <c r="AU153" s="13">
        <v>0.876</v>
      </c>
      <c r="AV153" s="13">
        <f t="shared" si="20"/>
        <v>0.536529680365297</v>
      </c>
      <c r="AW153" s="13">
        <v>0.133881</v>
      </c>
      <c r="AX153" s="13">
        <v>0.303424</v>
      </c>
      <c r="AY153" s="13">
        <v>0.1934</v>
      </c>
      <c r="AZ153" s="13">
        <v>2.3832</v>
      </c>
      <c r="BA153" s="13">
        <v>0.48659946720408</v>
      </c>
      <c r="BB153" s="13">
        <v>0.474835312435063</v>
      </c>
      <c r="BC153" s="13">
        <v>0.146082</v>
      </c>
    </row>
    <row r="154" spans="1:55">
      <c r="A154" s="8" t="s">
        <v>526</v>
      </c>
      <c r="B154" s="8" t="s">
        <v>527</v>
      </c>
      <c r="C154" s="8" t="s">
        <v>77</v>
      </c>
      <c r="D154" s="9">
        <v>11832</v>
      </c>
      <c r="E154" s="8" t="s">
        <v>83</v>
      </c>
      <c r="F154" s="8" t="s">
        <v>67</v>
      </c>
      <c r="G154" s="10">
        <v>92817857412.04</v>
      </c>
      <c r="H154" s="10">
        <v>0</v>
      </c>
      <c r="I154" s="9">
        <v>3425766320</v>
      </c>
      <c r="J154" s="9">
        <v>8032088259</v>
      </c>
      <c r="K154" s="11">
        <v>99.5547</v>
      </c>
      <c r="L154" s="12">
        <v>37910</v>
      </c>
      <c r="M154" s="12">
        <v>36950</v>
      </c>
      <c r="N154" s="9">
        <f t="shared" si="14"/>
        <v>960</v>
      </c>
      <c r="O154" s="13">
        <v>56.9</v>
      </c>
      <c r="P154" s="13">
        <v>9.61</v>
      </c>
      <c r="Q154" s="13">
        <v>2.95</v>
      </c>
      <c r="R154" s="8" t="s">
        <v>528</v>
      </c>
      <c r="S154" s="13">
        <v>150105</v>
      </c>
      <c r="T154" s="13">
        <v>0.435</v>
      </c>
      <c r="U154" s="13">
        <v>24.4516</v>
      </c>
      <c r="V154" s="13">
        <f t="shared" si="15"/>
        <v>0.0177902468550115</v>
      </c>
      <c r="W154" s="13">
        <v>0.95</v>
      </c>
      <c r="X154" s="13">
        <f t="shared" si="16"/>
        <v>0.457894736842105</v>
      </c>
      <c r="Y154" s="13">
        <v>0.157861</v>
      </c>
      <c r="Z154" s="13">
        <v>0.141884</v>
      </c>
      <c r="AA154" s="13">
        <v>0.6423</v>
      </c>
      <c r="AB154" s="13">
        <v>1.8544</v>
      </c>
      <c r="AC154" s="13">
        <v>0.1931</v>
      </c>
      <c r="AD154" s="13">
        <v>0.6333</v>
      </c>
      <c r="AE154" s="13">
        <v>0.111547</v>
      </c>
      <c r="AF154" s="13">
        <v>0.39</v>
      </c>
      <c r="AG154" s="13">
        <v>30.4026552942591</v>
      </c>
      <c r="AH154" s="13">
        <f t="shared" si="17"/>
        <v>0.0128278269192377</v>
      </c>
      <c r="AI154" s="13">
        <v>0.97</v>
      </c>
      <c r="AJ154" s="13">
        <f t="shared" si="18"/>
        <v>0.402061855670103</v>
      </c>
      <c r="AK154" s="13">
        <v>0.160227</v>
      </c>
      <c r="AL154" s="13">
        <v>0.147446</v>
      </c>
      <c r="AM154" s="13">
        <v>0.6269</v>
      </c>
      <c r="AN154" s="13">
        <v>1.8567</v>
      </c>
      <c r="AO154" s="13">
        <v>0.187062921153663</v>
      </c>
      <c r="AP154" s="13">
        <v>0.540548040746835</v>
      </c>
      <c r="AQ154" s="13">
        <v>0.10417</v>
      </c>
      <c r="AR154" s="13">
        <v>0.54</v>
      </c>
      <c r="AS154" s="13">
        <v>24.6934555226561</v>
      </c>
      <c r="AT154" s="13">
        <f t="shared" si="19"/>
        <v>0.0218681423304468</v>
      </c>
      <c r="AU154" s="13">
        <v>0.9</v>
      </c>
      <c r="AV154" s="13">
        <f t="shared" si="20"/>
        <v>0.6</v>
      </c>
      <c r="AW154" s="13">
        <v>0.160248</v>
      </c>
      <c r="AX154" s="13">
        <v>0.148333</v>
      </c>
      <c r="AY154" s="13">
        <v>0.6338</v>
      </c>
      <c r="AZ154" s="13">
        <v>1.8153</v>
      </c>
      <c r="BA154" s="13">
        <v>0.22189953000906</v>
      </c>
      <c r="BB154" s="13">
        <v>0.638263314743392</v>
      </c>
      <c r="BC154" s="13">
        <v>0.101312</v>
      </c>
    </row>
    <row r="155" spans="1:55">
      <c r="A155" s="8" t="s">
        <v>529</v>
      </c>
      <c r="B155" s="8" t="s">
        <v>530</v>
      </c>
      <c r="C155" s="8" t="s">
        <v>89</v>
      </c>
      <c r="D155" s="9">
        <v>3255</v>
      </c>
      <c r="E155" s="8" t="s">
        <v>165</v>
      </c>
      <c r="F155" s="8" t="s">
        <v>199</v>
      </c>
      <c r="G155" s="10">
        <v>45298498791.54</v>
      </c>
      <c r="H155" s="10">
        <v>13</v>
      </c>
      <c r="I155" s="9">
        <v>2245028006</v>
      </c>
      <c r="J155" s="9">
        <v>5483559226</v>
      </c>
      <c r="K155" s="11">
        <v>100</v>
      </c>
      <c r="L155" s="12">
        <v>37385</v>
      </c>
      <c r="M155" s="12">
        <v>34331</v>
      </c>
      <c r="N155" s="9">
        <f t="shared" si="14"/>
        <v>3054</v>
      </c>
      <c r="O155" s="13">
        <v>56.37</v>
      </c>
      <c r="P155" s="13">
        <v>5.24</v>
      </c>
      <c r="Q155" s="13">
        <v>2.69</v>
      </c>
      <c r="R155" s="8" t="s">
        <v>531</v>
      </c>
      <c r="S155" s="13">
        <v>132487</v>
      </c>
      <c r="T155" s="13">
        <v>0.33</v>
      </c>
      <c r="U155" s="13">
        <v>10.1927</v>
      </c>
      <c r="V155" s="13">
        <f t="shared" si="15"/>
        <v>0.0323761123156769</v>
      </c>
      <c r="W155" s="13">
        <v>0.56</v>
      </c>
      <c r="X155" s="13">
        <f t="shared" si="16"/>
        <v>0.589285714285714</v>
      </c>
      <c r="Y155" s="13">
        <v>0.160959</v>
      </c>
      <c r="Z155" s="13">
        <v>0.195601</v>
      </c>
      <c r="AA155" s="13">
        <v>0.4175</v>
      </c>
      <c r="AB155" s="13">
        <v>1.9739</v>
      </c>
      <c r="AC155" s="13">
        <v>0.2854</v>
      </c>
      <c r="AD155" s="13">
        <v>0.3387</v>
      </c>
      <c r="AE155" s="13">
        <v>0.392727</v>
      </c>
      <c r="AF155" s="13">
        <v>0.065</v>
      </c>
      <c r="AG155" s="13">
        <v>5.17580563890492</v>
      </c>
      <c r="AH155" s="13">
        <f t="shared" si="17"/>
        <v>0.0125584313891958</v>
      </c>
      <c r="AI155" s="13">
        <v>0.2</v>
      </c>
      <c r="AJ155" s="13">
        <f t="shared" si="18"/>
        <v>0.325</v>
      </c>
      <c r="AK155" s="13">
        <v>0.073961</v>
      </c>
      <c r="AL155" s="13">
        <v>0.144835</v>
      </c>
      <c r="AM155" s="13">
        <v>0.2414</v>
      </c>
      <c r="AN155" s="13">
        <v>2.1131</v>
      </c>
      <c r="AO155" s="13">
        <v>0.183746323811206</v>
      </c>
      <c r="AP155" s="13">
        <v>0.165453573164284</v>
      </c>
      <c r="AQ155" s="13">
        <v>0.262826</v>
      </c>
      <c r="AR155" s="13">
        <v>0.2</v>
      </c>
      <c r="AS155" s="13">
        <v>8.21030376798157</v>
      </c>
      <c r="AT155" s="13">
        <f t="shared" si="19"/>
        <v>0.024359634631298</v>
      </c>
      <c r="AU155" s="13">
        <v>0.49</v>
      </c>
      <c r="AV155" s="13">
        <f t="shared" si="20"/>
        <v>0.408163265306122</v>
      </c>
      <c r="AW155" s="13">
        <v>0.162436</v>
      </c>
      <c r="AX155" s="13">
        <v>0.237299</v>
      </c>
      <c r="AY155" s="13">
        <v>0.3307</v>
      </c>
      <c r="AZ155" s="13">
        <v>2.0737</v>
      </c>
      <c r="BA155" s="13">
        <v>0.163284160390891</v>
      </c>
      <c r="BB155" s="13">
        <v>0.213936080045285</v>
      </c>
      <c r="BC155" s="13">
        <v>0.482958</v>
      </c>
    </row>
    <row r="156" spans="1:55">
      <c r="A156" s="8" t="s">
        <v>532</v>
      </c>
      <c r="B156" s="8" t="s">
        <v>533</v>
      </c>
      <c r="C156" s="8" t="s">
        <v>89</v>
      </c>
      <c r="D156" s="9">
        <v>6033</v>
      </c>
      <c r="E156" s="8" t="s">
        <v>90</v>
      </c>
      <c r="F156" s="8" t="s">
        <v>67</v>
      </c>
      <c r="G156" s="10">
        <v>49257259253.48</v>
      </c>
      <c r="H156" s="10">
        <v>0</v>
      </c>
      <c r="I156" s="9">
        <v>1438395178</v>
      </c>
      <c r="J156" s="9">
        <v>2123219998</v>
      </c>
      <c r="K156" s="11">
        <v>99.8227</v>
      </c>
      <c r="L156" s="12">
        <v>37427</v>
      </c>
      <c r="M156" s="12">
        <v>36642</v>
      </c>
      <c r="N156" s="9">
        <f t="shared" si="14"/>
        <v>785</v>
      </c>
      <c r="O156" s="13">
        <v>32.08</v>
      </c>
      <c r="P156" s="13">
        <v>2.76</v>
      </c>
      <c r="Q156" s="13">
        <v>1.79</v>
      </c>
      <c r="R156" s="8" t="s">
        <v>534</v>
      </c>
      <c r="S156" s="13">
        <v>43960</v>
      </c>
      <c r="T156" s="13">
        <v>0.3</v>
      </c>
      <c r="U156" s="13">
        <v>24.9442</v>
      </c>
      <c r="V156" s="13">
        <f t="shared" si="15"/>
        <v>0.0120268439156197</v>
      </c>
      <c r="W156" s="13">
        <v>1.841</v>
      </c>
      <c r="X156" s="13">
        <f t="shared" si="16"/>
        <v>0.162954915806627</v>
      </c>
      <c r="Y156" s="13">
        <v>0.130283</v>
      </c>
      <c r="Z156" s="13">
        <v>0.122077</v>
      </c>
      <c r="AA156" s="13">
        <v>0.7546</v>
      </c>
      <c r="AB156" s="13">
        <v>1.5141</v>
      </c>
      <c r="AC156" s="13">
        <v>0.1452</v>
      </c>
      <c r="AD156" s="13">
        <v>0.262</v>
      </c>
      <c r="AE156" s="13">
        <v>0.255545</v>
      </c>
      <c r="AF156" s="13">
        <v>0.8</v>
      </c>
      <c r="AG156" s="13">
        <v>30.7137178287978</v>
      </c>
      <c r="AH156" s="13">
        <f t="shared" si="17"/>
        <v>0.0260469932184473</v>
      </c>
      <c r="AI156" s="13">
        <v>2.965</v>
      </c>
      <c r="AJ156" s="13">
        <f t="shared" si="18"/>
        <v>0.269814502529511</v>
      </c>
      <c r="AK156" s="13">
        <v>0.255775</v>
      </c>
      <c r="AL156" s="13">
        <v>0.207884</v>
      </c>
      <c r="AM156" s="13">
        <v>0.9502</v>
      </c>
      <c r="AN156" s="13">
        <v>1.2944</v>
      </c>
      <c r="AO156" s="13">
        <v>0.231423496431812</v>
      </c>
      <c r="AP156" s="13">
        <v>0.911654821784787</v>
      </c>
      <c r="AQ156" s="13">
        <v>0.130902</v>
      </c>
      <c r="AR156" s="13">
        <v>0.6</v>
      </c>
      <c r="AS156" s="13">
        <v>32.4007457990321</v>
      </c>
      <c r="AT156" s="13">
        <f t="shared" si="19"/>
        <v>0.0185180922600221</v>
      </c>
      <c r="AU156" s="13">
        <v>1.689</v>
      </c>
      <c r="AV156" s="13">
        <f t="shared" si="20"/>
        <v>0.355239786856128</v>
      </c>
      <c r="AW156" s="13">
        <v>0.128136</v>
      </c>
      <c r="AX156" s="13">
        <v>0.132885</v>
      </c>
      <c r="AY156" s="13">
        <v>0.6896</v>
      </c>
      <c r="AZ156" s="13">
        <v>1.4164</v>
      </c>
      <c r="BA156" s="13">
        <v>0.172976477529202</v>
      </c>
      <c r="BB156" s="13">
        <v>0.355448204250169</v>
      </c>
      <c r="BC156" s="13">
        <v>-0.098706</v>
      </c>
    </row>
    <row r="157" spans="1:55">
      <c r="A157" s="8" t="s">
        <v>535</v>
      </c>
      <c r="B157" s="8" t="s">
        <v>536</v>
      </c>
      <c r="C157" s="8" t="s">
        <v>89</v>
      </c>
      <c r="D157" s="9">
        <v>2839</v>
      </c>
      <c r="E157" s="8" t="s">
        <v>370</v>
      </c>
      <c r="F157" s="8" t="s">
        <v>67</v>
      </c>
      <c r="G157" s="10">
        <v>17478745955.95</v>
      </c>
      <c r="H157" s="10">
        <v>0</v>
      </c>
      <c r="I157" s="9">
        <v>295794567</v>
      </c>
      <c r="J157" s="9">
        <v>603317210</v>
      </c>
      <c r="K157" s="11">
        <v>100</v>
      </c>
      <c r="L157" s="12">
        <v>37788</v>
      </c>
      <c r="M157" s="12">
        <v>36522</v>
      </c>
      <c r="N157" s="9">
        <f t="shared" si="14"/>
        <v>1266</v>
      </c>
      <c r="O157" s="13">
        <v>50.97</v>
      </c>
      <c r="P157" s="13">
        <v>4.49</v>
      </c>
      <c r="Q157" s="13">
        <v>3.2</v>
      </c>
      <c r="R157" s="8" t="s">
        <v>537</v>
      </c>
      <c r="S157" s="13">
        <v>130412</v>
      </c>
      <c r="T157" s="13">
        <v>1.82</v>
      </c>
      <c r="U157" s="13">
        <v>225.175</v>
      </c>
      <c r="V157" s="13">
        <f t="shared" si="15"/>
        <v>0.00808260242033974</v>
      </c>
      <c r="W157" s="13">
        <v>4.93</v>
      </c>
      <c r="X157" s="13">
        <f t="shared" si="16"/>
        <v>0.369168356997972</v>
      </c>
      <c r="Y157" s="13">
        <v>0.21535</v>
      </c>
      <c r="Z157" s="13">
        <v>0.277676</v>
      </c>
      <c r="AA157" s="13">
        <v>0.6232</v>
      </c>
      <c r="AB157" s="13">
        <v>1.2522</v>
      </c>
      <c r="AC157" s="13">
        <v>0.1218</v>
      </c>
      <c r="AD157" s="13">
        <v>0.6616</v>
      </c>
      <c r="AE157" s="13">
        <v>0.072512</v>
      </c>
      <c r="AF157" s="13">
        <v>1.25</v>
      </c>
      <c r="AG157" s="13">
        <v>307.368960233518</v>
      </c>
      <c r="AH157" s="13">
        <f t="shared" si="17"/>
        <v>0.00406677368804688</v>
      </c>
      <c r="AI157" s="13">
        <v>4.1</v>
      </c>
      <c r="AJ157" s="13">
        <f t="shared" si="18"/>
        <v>0.304878048780488</v>
      </c>
      <c r="AK157" s="13">
        <v>0.23507</v>
      </c>
      <c r="AL157" s="13">
        <v>0.290197</v>
      </c>
      <c r="AM157" s="13">
        <v>0.6416</v>
      </c>
      <c r="AN157" s="13">
        <v>1.2883</v>
      </c>
      <c r="AO157" s="13">
        <v>0.79054858417279</v>
      </c>
      <c r="AP157" s="13">
        <v>1.02379407474047</v>
      </c>
      <c r="AQ157" s="13">
        <v>0.083831</v>
      </c>
      <c r="AR157" s="13">
        <v>2.32</v>
      </c>
      <c r="AS157" s="13">
        <v>282.354062603679</v>
      </c>
      <c r="AT157" s="13">
        <f t="shared" si="19"/>
        <v>0.00821663403248575</v>
      </c>
      <c r="AU157" s="13">
        <v>4.64</v>
      </c>
      <c r="AV157" s="13">
        <f t="shared" si="20"/>
        <v>0.5</v>
      </c>
      <c r="AW157" s="13">
        <v>0.226449</v>
      </c>
      <c r="AX157" s="13">
        <v>0.283456</v>
      </c>
      <c r="AY157" s="13">
        <v>0.6349</v>
      </c>
      <c r="AZ157" s="13">
        <v>1.2824</v>
      </c>
      <c r="BA157" s="13">
        <v>0.219379838250962</v>
      </c>
      <c r="BB157" s="13">
        <v>0.421586810347287</v>
      </c>
      <c r="BC157" s="13">
        <v>0.156947</v>
      </c>
    </row>
    <row r="158" spans="1:55">
      <c r="A158" s="8" t="s">
        <v>538</v>
      </c>
      <c r="B158" s="8" t="s">
        <v>539</v>
      </c>
      <c r="C158" s="8" t="s">
        <v>82</v>
      </c>
      <c r="D158" s="9">
        <v>55724</v>
      </c>
      <c r="E158" s="8" t="s">
        <v>104</v>
      </c>
      <c r="F158" s="8" t="s">
        <v>67</v>
      </c>
      <c r="G158" s="10">
        <v>201315299983.29</v>
      </c>
      <c r="H158" s="10">
        <v>5</v>
      </c>
      <c r="I158" s="9">
        <v>2465455350</v>
      </c>
      <c r="J158" s="9">
        <v>4501989837</v>
      </c>
      <c r="K158" s="11">
        <v>100</v>
      </c>
      <c r="L158" s="12">
        <v>38048</v>
      </c>
      <c r="M158" s="12">
        <v>35041</v>
      </c>
      <c r="N158" s="9">
        <f t="shared" si="14"/>
        <v>3007</v>
      </c>
      <c r="O158" s="13">
        <v>45.24</v>
      </c>
      <c r="P158" s="13">
        <v>3.03</v>
      </c>
      <c r="Q158" s="13">
        <v>2.21</v>
      </c>
      <c r="R158" s="8" t="s">
        <v>540</v>
      </c>
      <c r="S158" s="13">
        <v>251992</v>
      </c>
      <c r="T158" s="13"/>
      <c r="U158" s="13">
        <v>24.2502</v>
      </c>
      <c r="V158" s="13">
        <f t="shared" si="15"/>
        <v>0</v>
      </c>
      <c r="W158" s="13">
        <v>-1.579</v>
      </c>
      <c r="X158" s="13">
        <f t="shared" si="16"/>
        <v>0</v>
      </c>
      <c r="Y158" s="13">
        <v>-0.127995</v>
      </c>
      <c r="Z158" s="13">
        <v>-0.088144</v>
      </c>
      <c r="AA158" s="13">
        <v>0.5107</v>
      </c>
      <c r="AB158" s="13">
        <v>3.2757</v>
      </c>
      <c r="AC158" s="13">
        <v>0.0124</v>
      </c>
      <c r="AD158" s="13">
        <v>0.5445</v>
      </c>
      <c r="AE158" s="13">
        <v>-0.338665</v>
      </c>
      <c r="AF158" s="13">
        <v>2.858</v>
      </c>
      <c r="AG158" s="13">
        <v>48.7910918712352</v>
      </c>
      <c r="AH158" s="13">
        <f t="shared" si="17"/>
        <v>0.0585762664943544</v>
      </c>
      <c r="AI158" s="13">
        <v>5.7149</v>
      </c>
      <c r="AJ158" s="13">
        <f t="shared" si="18"/>
        <v>0.500096239654237</v>
      </c>
      <c r="AK158" s="13">
        <v>0.523428</v>
      </c>
      <c r="AL158" s="13">
        <v>0.227302</v>
      </c>
      <c r="AM158" s="13">
        <v>1.2199</v>
      </c>
      <c r="AN158" s="13">
        <v>2.3753</v>
      </c>
      <c r="AO158" s="13">
        <v>0.307661388441689</v>
      </c>
      <c r="AP158" s="13">
        <v>1.19896012141476</v>
      </c>
      <c r="AQ158" s="13">
        <v>1.196861</v>
      </c>
      <c r="AR158" s="13">
        <v>0.905</v>
      </c>
      <c r="AS158" s="13">
        <v>35.2610046315359</v>
      </c>
      <c r="AT158" s="13">
        <f t="shared" si="19"/>
        <v>0.0256657463239322</v>
      </c>
      <c r="AU158" s="13">
        <v>3.0151</v>
      </c>
      <c r="AV158" s="13">
        <f t="shared" si="20"/>
        <v>0.300155882060297</v>
      </c>
      <c r="AW158" s="13">
        <v>0.22193</v>
      </c>
      <c r="AX158" s="13">
        <v>0.131169</v>
      </c>
      <c r="AY158" s="13">
        <v>0.8986</v>
      </c>
      <c r="AZ158" s="13">
        <v>2.531</v>
      </c>
      <c r="BA158" s="13">
        <v>0.220549303244137</v>
      </c>
      <c r="BB158" s="13">
        <v>0.770963222005398</v>
      </c>
      <c r="BC158" s="13">
        <v>-0.0233</v>
      </c>
    </row>
    <row r="159" spans="1:55">
      <c r="A159" s="8" t="s">
        <v>541</v>
      </c>
      <c r="B159" s="8" t="s">
        <v>542</v>
      </c>
      <c r="C159" s="8" t="s">
        <v>82</v>
      </c>
      <c r="D159" s="9">
        <v>10223</v>
      </c>
      <c r="E159" s="8" t="s">
        <v>165</v>
      </c>
      <c r="F159" s="8" t="s">
        <v>67</v>
      </c>
      <c r="G159" s="10">
        <v>25170474076.48</v>
      </c>
      <c r="H159" s="10">
        <v>0</v>
      </c>
      <c r="I159" s="9">
        <v>1137804915</v>
      </c>
      <c r="J159" s="9">
        <v>1664071845</v>
      </c>
      <c r="K159" s="11">
        <v>100</v>
      </c>
      <c r="L159" s="12">
        <v>37691</v>
      </c>
      <c r="M159" s="12">
        <v>35698</v>
      </c>
      <c r="N159" s="9">
        <f t="shared" si="14"/>
        <v>1993</v>
      </c>
      <c r="O159" s="13">
        <v>30.88</v>
      </c>
      <c r="P159" s="13">
        <v>3.72</v>
      </c>
      <c r="Q159" s="13">
        <v>1.93</v>
      </c>
      <c r="R159" s="8" t="s">
        <v>543</v>
      </c>
      <c r="S159" s="13">
        <v>296179</v>
      </c>
      <c r="T159" s="13">
        <v>0.04</v>
      </c>
      <c r="U159" s="13">
        <v>24.2655</v>
      </c>
      <c r="V159" s="13">
        <f t="shared" si="15"/>
        <v>0.00164843089983722</v>
      </c>
      <c r="W159" s="13">
        <v>0.13</v>
      </c>
      <c r="X159" s="13">
        <f t="shared" si="16"/>
        <v>0.307692307692308</v>
      </c>
      <c r="Y159" s="13">
        <v>0.018144</v>
      </c>
      <c r="Z159" s="13">
        <v>-0.002127</v>
      </c>
      <c r="AA159" s="13">
        <v>0.4608</v>
      </c>
      <c r="AB159" s="13">
        <v>2.0096</v>
      </c>
      <c r="AC159" s="13">
        <v>0.0394</v>
      </c>
      <c r="AD159" s="13">
        <v>0.6548</v>
      </c>
      <c r="AE159" s="13">
        <v>0.201437</v>
      </c>
      <c r="AF159" s="13">
        <v>0.1</v>
      </c>
      <c r="AG159" s="13">
        <v>44.4303486502997</v>
      </c>
      <c r="AH159" s="13">
        <f t="shared" si="17"/>
        <v>0.00225071382597232</v>
      </c>
      <c r="AI159" s="13">
        <v>0.74</v>
      </c>
      <c r="AJ159" s="13">
        <f t="shared" si="18"/>
        <v>0.135135135135135</v>
      </c>
      <c r="AK159" s="13">
        <v>0.152699</v>
      </c>
      <c r="AL159" s="13">
        <v>0.126482</v>
      </c>
      <c r="AM159" s="13">
        <v>0.5391</v>
      </c>
      <c r="AN159" s="13">
        <v>2.2291</v>
      </c>
      <c r="AO159" s="13">
        <v>0.0246015036240379</v>
      </c>
      <c r="AP159" s="13">
        <v>0.421024269671439</v>
      </c>
      <c r="AQ159" s="13">
        <v>0.151241</v>
      </c>
      <c r="AR159" s="13"/>
      <c r="AS159" s="13">
        <v>32.0099164724656</v>
      </c>
      <c r="AT159" s="13">
        <f t="shared" si="19"/>
        <v>0</v>
      </c>
      <c r="AU159" s="13">
        <v>-0.02</v>
      </c>
      <c r="AV159" s="13">
        <f t="shared" si="20"/>
        <v>0</v>
      </c>
      <c r="AW159" s="13">
        <v>-0.00369</v>
      </c>
      <c r="AX159" s="13">
        <v>-0.006912</v>
      </c>
      <c r="AY159" s="13">
        <v>0.4575</v>
      </c>
      <c r="AZ159" s="13">
        <v>2.105</v>
      </c>
      <c r="BA159" s="13">
        <v>0.0339237499749623</v>
      </c>
      <c r="BB159" s="13">
        <v>1.10976417609569</v>
      </c>
      <c r="BC159" s="13">
        <v>0.127664</v>
      </c>
    </row>
    <row r="160" spans="1:55">
      <c r="A160" s="8" t="s">
        <v>544</v>
      </c>
      <c r="B160" s="8" t="s">
        <v>545</v>
      </c>
      <c r="C160" s="8" t="s">
        <v>77</v>
      </c>
      <c r="D160" s="9">
        <v>24499</v>
      </c>
      <c r="E160" s="8" t="s">
        <v>206</v>
      </c>
      <c r="F160" s="8" t="s">
        <v>67</v>
      </c>
      <c r="G160" s="10">
        <v>114657432186.18</v>
      </c>
      <c r="H160" s="10">
        <v>0</v>
      </c>
      <c r="I160" s="9">
        <v>1125337121</v>
      </c>
      <c r="J160" s="9">
        <v>2253549842</v>
      </c>
      <c r="K160" s="11">
        <v>100</v>
      </c>
      <c r="L160" s="12">
        <v>38182</v>
      </c>
      <c r="M160" s="12">
        <v>36690</v>
      </c>
      <c r="N160" s="9">
        <f t="shared" si="14"/>
        <v>1492</v>
      </c>
      <c r="O160" s="13">
        <v>25.01</v>
      </c>
      <c r="P160" s="13">
        <v>20.18</v>
      </c>
      <c r="Q160" s="13">
        <v>4.43</v>
      </c>
      <c r="R160" s="8" t="s">
        <v>546</v>
      </c>
      <c r="S160" s="13">
        <v>75068</v>
      </c>
      <c r="T160" s="13">
        <v>0.186</v>
      </c>
      <c r="U160" s="13">
        <v>21.6921</v>
      </c>
      <c r="V160" s="13">
        <f t="shared" si="15"/>
        <v>0.00857455018186344</v>
      </c>
      <c r="W160" s="13">
        <v>0.63</v>
      </c>
      <c r="X160" s="13">
        <f t="shared" si="16"/>
        <v>0.295238095238095</v>
      </c>
      <c r="Y160" s="13">
        <v>0.036613</v>
      </c>
      <c r="Z160" s="13">
        <v>0.049379</v>
      </c>
      <c r="AA160" s="13">
        <v>0.4969</v>
      </c>
      <c r="AB160" s="13">
        <v>2.7385</v>
      </c>
      <c r="AC160" s="13">
        <v>0.2786</v>
      </c>
      <c r="AD160" s="13">
        <v>0.886</v>
      </c>
      <c r="AE160" s="13">
        <v>0.146195</v>
      </c>
      <c r="AF160" s="13">
        <v>0.04644</v>
      </c>
      <c r="AG160" s="13">
        <v>16.6223555555107</v>
      </c>
      <c r="AH160" s="13">
        <f t="shared" si="17"/>
        <v>0.00279382785700334</v>
      </c>
      <c r="AI160" s="13">
        <v>0.15</v>
      </c>
      <c r="AJ160" s="13">
        <f t="shared" si="18"/>
        <v>0.3096</v>
      </c>
      <c r="AK160" s="13">
        <v>0.009274</v>
      </c>
      <c r="AL160" s="13">
        <v>0.009659</v>
      </c>
      <c r="AM160" s="13">
        <v>0.518</v>
      </c>
      <c r="AN160" s="13">
        <v>2.0611</v>
      </c>
      <c r="AO160" s="13">
        <v>0.080949287826894</v>
      </c>
      <c r="AP160" s="13">
        <v>0.901809987611741</v>
      </c>
      <c r="AQ160" s="13">
        <v>0.104686</v>
      </c>
      <c r="AR160" s="13">
        <v>0.10641</v>
      </c>
      <c r="AS160" s="13">
        <v>19.3964811726654</v>
      </c>
      <c r="AT160" s="13">
        <f t="shared" si="19"/>
        <v>0.00548604662117575</v>
      </c>
      <c r="AU160" s="13">
        <v>0.36</v>
      </c>
      <c r="AV160" s="13">
        <f t="shared" si="20"/>
        <v>0.295583333333333</v>
      </c>
      <c r="AW160" s="13">
        <v>0.021549</v>
      </c>
      <c r="AX160" s="13">
        <v>0.023466</v>
      </c>
      <c r="AY160" s="13">
        <v>0.4876</v>
      </c>
      <c r="AZ160" s="13">
        <v>2.557</v>
      </c>
      <c r="BA160" s="13">
        <v>0.101945586161125</v>
      </c>
      <c r="BB160" s="13">
        <v>0.836331104766136</v>
      </c>
      <c r="BC160" s="13">
        <v>0.17823</v>
      </c>
    </row>
    <row r="161" spans="1:55">
      <c r="A161" s="8" t="s">
        <v>547</v>
      </c>
      <c r="B161" s="8" t="s">
        <v>548</v>
      </c>
      <c r="C161" s="8" t="s">
        <v>77</v>
      </c>
      <c r="D161" s="9">
        <v>22801</v>
      </c>
      <c r="E161" s="8" t="s">
        <v>132</v>
      </c>
      <c r="F161" s="8" t="s">
        <v>171</v>
      </c>
      <c r="G161" s="10">
        <v>63459123559.95</v>
      </c>
      <c r="H161" s="10">
        <v>0</v>
      </c>
      <c r="I161" s="9">
        <v>2625495790</v>
      </c>
      <c r="J161" s="9">
        <v>4847312564</v>
      </c>
      <c r="K161" s="11">
        <v>100</v>
      </c>
      <c r="L161" s="12">
        <v>37847</v>
      </c>
      <c r="M161" s="12">
        <v>39349</v>
      </c>
      <c r="N161" s="9">
        <f t="shared" si="14"/>
        <v>-1502</v>
      </c>
      <c r="O161" s="13">
        <v>45.84</v>
      </c>
      <c r="P161" s="13">
        <v>2.39</v>
      </c>
      <c r="Q161" s="13">
        <v>2.02</v>
      </c>
      <c r="R161" s="8" t="s">
        <v>549</v>
      </c>
      <c r="S161" s="13">
        <v>149339</v>
      </c>
      <c r="T161" s="13">
        <v>0.388</v>
      </c>
      <c r="U161" s="13">
        <v>13.4542</v>
      </c>
      <c r="V161" s="13">
        <f t="shared" si="15"/>
        <v>0.0288385782878209</v>
      </c>
      <c r="W161" s="13">
        <v>0.7</v>
      </c>
      <c r="X161" s="13">
        <f t="shared" si="16"/>
        <v>0.554285714285714</v>
      </c>
      <c r="Y161" s="13">
        <v>0.12705</v>
      </c>
      <c r="Z161" s="13">
        <v>0.064122</v>
      </c>
      <c r="AA161" s="13">
        <v>1.2104</v>
      </c>
      <c r="AB161" s="13">
        <v>2.0322</v>
      </c>
      <c r="AC161" s="13">
        <v>0.1204</v>
      </c>
      <c r="AD161" s="13">
        <v>0.7285</v>
      </c>
      <c r="AE161" s="13">
        <v>0.070066</v>
      </c>
      <c r="AF161" s="13">
        <v>0.281</v>
      </c>
      <c r="AG161" s="13">
        <v>7.86847126400107</v>
      </c>
      <c r="AH161" s="13">
        <f t="shared" si="17"/>
        <v>0.0357121466892304</v>
      </c>
      <c r="AI161" s="13">
        <v>0.4368</v>
      </c>
      <c r="AJ161" s="13">
        <f t="shared" si="18"/>
        <v>0.643315018315018</v>
      </c>
      <c r="AK161" s="13">
        <v>0.083485</v>
      </c>
      <c r="AL161" s="13">
        <v>0.043766</v>
      </c>
      <c r="AM161" s="13">
        <v>1.1873</v>
      </c>
      <c r="AN161" s="13">
        <v>1.8982</v>
      </c>
      <c r="AO161" s="13">
        <v>0.0993368432907792</v>
      </c>
      <c r="AP161" s="13">
        <v>0.571702693157429</v>
      </c>
      <c r="AQ161" s="13">
        <v>0.018688</v>
      </c>
      <c r="AR161" s="13">
        <v>0.402</v>
      </c>
      <c r="AS161" s="13">
        <v>10.5473071729844</v>
      </c>
      <c r="AT161" s="13">
        <f t="shared" si="19"/>
        <v>0.0381139937812442</v>
      </c>
      <c r="AU161" s="13">
        <v>0.61</v>
      </c>
      <c r="AV161" s="13">
        <f t="shared" si="20"/>
        <v>0.659016393442623</v>
      </c>
      <c r="AW161" s="13">
        <v>0.115011</v>
      </c>
      <c r="AX161" s="13">
        <v>0.059044</v>
      </c>
      <c r="AY161" s="13">
        <v>1.2093</v>
      </c>
      <c r="AZ161" s="13">
        <v>1.9566</v>
      </c>
      <c r="BA161" s="13">
        <v>0.104849674250452</v>
      </c>
      <c r="BB161" s="13">
        <v>0.545428382718439</v>
      </c>
      <c r="BC161" s="13">
        <v>0.071951</v>
      </c>
    </row>
    <row r="162" spans="1:55">
      <c r="A162" s="8" t="s">
        <v>550</v>
      </c>
      <c r="B162" s="8" t="s">
        <v>551</v>
      </c>
      <c r="C162" s="8" t="s">
        <v>89</v>
      </c>
      <c r="D162" s="9">
        <v>10611</v>
      </c>
      <c r="E162" s="8" t="s">
        <v>552</v>
      </c>
      <c r="F162" s="8" t="s">
        <v>63</v>
      </c>
      <c r="G162" s="10">
        <v>52968882361.74</v>
      </c>
      <c r="H162" s="10">
        <v>4</v>
      </c>
      <c r="I162" s="9">
        <v>5502318395</v>
      </c>
      <c r="J162" s="9">
        <v>11425309602</v>
      </c>
      <c r="K162" s="11">
        <v>80.313</v>
      </c>
      <c r="L162" s="12">
        <v>37474</v>
      </c>
      <c r="M162" s="12">
        <v>34101</v>
      </c>
      <c r="N162" s="9">
        <f t="shared" si="14"/>
        <v>3373</v>
      </c>
      <c r="O162" s="13">
        <v>24.87</v>
      </c>
      <c r="P162" s="13">
        <v>19.69</v>
      </c>
      <c r="Q162" s="13">
        <v>6.13</v>
      </c>
      <c r="R162" s="8" t="s">
        <v>553</v>
      </c>
      <c r="S162" s="13">
        <v>151965</v>
      </c>
      <c r="T162" s="13">
        <v>0.005</v>
      </c>
      <c r="U162" s="13">
        <v>3.6586</v>
      </c>
      <c r="V162" s="13">
        <f t="shared" si="15"/>
        <v>0.00136664297818838</v>
      </c>
      <c r="W162" s="13">
        <v>0.0401</v>
      </c>
      <c r="X162" s="13">
        <f t="shared" si="16"/>
        <v>0.124688279301746</v>
      </c>
      <c r="Y162" s="13">
        <v>0.019661</v>
      </c>
      <c r="Z162" s="13">
        <v>0.100251</v>
      </c>
      <c r="AA162" s="13">
        <v>0.0798</v>
      </c>
      <c r="AB162" s="13">
        <v>2.3475</v>
      </c>
      <c r="AC162" s="13">
        <v>-0.179</v>
      </c>
      <c r="AD162" s="13">
        <v>0.4664</v>
      </c>
      <c r="AE162" s="13">
        <v>-0.353978</v>
      </c>
      <c r="AF162" s="13"/>
      <c r="AG162" s="13">
        <v>4.15721469309289</v>
      </c>
      <c r="AH162" s="13">
        <f t="shared" si="17"/>
        <v>0</v>
      </c>
      <c r="AI162" s="13">
        <v>0.1625</v>
      </c>
      <c r="AJ162" s="13">
        <f t="shared" si="18"/>
        <v>0</v>
      </c>
      <c r="AK162" s="13">
        <v>0.088987</v>
      </c>
      <c r="AL162" s="13">
        <v>0.420069</v>
      </c>
      <c r="AM162" s="13">
        <v>0.0802</v>
      </c>
      <c r="AN162" s="13">
        <v>2.8114</v>
      </c>
      <c r="AO162" s="13">
        <v>-0.669405824294717</v>
      </c>
      <c r="AP162" s="13">
        <v>0.80464080082855</v>
      </c>
      <c r="AQ162" s="13">
        <v>0.038922</v>
      </c>
      <c r="AR162" s="13"/>
      <c r="AS162" s="13">
        <v>4.32500967026008</v>
      </c>
      <c r="AT162" s="13">
        <f t="shared" si="19"/>
        <v>0</v>
      </c>
      <c r="AU162" s="13">
        <v>0.0834</v>
      </c>
      <c r="AV162" s="13">
        <f t="shared" si="20"/>
        <v>0</v>
      </c>
      <c r="AW162" s="13">
        <v>0.041847</v>
      </c>
      <c r="AX162" s="13">
        <v>0.147176</v>
      </c>
      <c r="AY162" s="13">
        <v>0.1208</v>
      </c>
      <c r="AZ162" s="13">
        <v>2.4579</v>
      </c>
      <c r="BA162" s="13">
        <v>0.0807996991809541</v>
      </c>
      <c r="BB162" s="13">
        <v>0.774644211005053</v>
      </c>
      <c r="BC162" s="13">
        <v>0.438446</v>
      </c>
    </row>
    <row r="163" spans="1:55">
      <c r="A163" s="8" t="s">
        <v>554</v>
      </c>
      <c r="B163" s="8" t="s">
        <v>555</v>
      </c>
      <c r="C163" s="8" t="s">
        <v>89</v>
      </c>
      <c r="D163" s="9">
        <v>34750</v>
      </c>
      <c r="E163" s="8" t="s">
        <v>556</v>
      </c>
      <c r="F163" s="8" t="s">
        <v>67</v>
      </c>
      <c r="G163" s="10">
        <v>304738184929.86</v>
      </c>
      <c r="H163" s="10">
        <v>0</v>
      </c>
      <c r="I163" s="9">
        <v>543995947</v>
      </c>
      <c r="J163" s="9">
        <v>1252270215</v>
      </c>
      <c r="K163" s="11">
        <v>100</v>
      </c>
      <c r="L163" s="12">
        <v>37130</v>
      </c>
      <c r="M163" s="12">
        <v>36484</v>
      </c>
      <c r="N163" s="9">
        <f t="shared" si="14"/>
        <v>646</v>
      </c>
      <c r="O163" s="13">
        <v>54.34</v>
      </c>
      <c r="P163" s="13">
        <v>4.77</v>
      </c>
      <c r="Q163" s="13">
        <v>4.55</v>
      </c>
      <c r="R163" s="8"/>
      <c r="S163" s="13">
        <v>238512</v>
      </c>
      <c r="T163" s="13">
        <v>27.673</v>
      </c>
      <c r="U163" s="13">
        <v>1570.728</v>
      </c>
      <c r="V163" s="13">
        <f t="shared" si="15"/>
        <v>0.0176179453094361</v>
      </c>
      <c r="W163" s="13">
        <v>68.64</v>
      </c>
      <c r="X163" s="13">
        <f t="shared" si="16"/>
        <v>0.403161421911422</v>
      </c>
      <c r="Y163" s="13">
        <v>0.384283</v>
      </c>
      <c r="Z163" s="13">
        <v>0.512993</v>
      </c>
      <c r="AA163" s="13">
        <v>0.6093</v>
      </c>
      <c r="AB163" s="13">
        <v>1.2738</v>
      </c>
      <c r="AC163" s="13">
        <v>0.541</v>
      </c>
      <c r="AD163" s="13">
        <v>1.0887</v>
      </c>
      <c r="AE163" s="13">
        <v>0.15664</v>
      </c>
      <c r="AF163" s="13">
        <v>25.911</v>
      </c>
      <c r="AG163" s="13">
        <v>1757.13756540257</v>
      </c>
      <c r="AH163" s="13">
        <f t="shared" si="17"/>
        <v>0.0147461419698597</v>
      </c>
      <c r="AI163" s="13">
        <v>49.93</v>
      </c>
      <c r="AJ163" s="13">
        <f t="shared" si="18"/>
        <v>0.518946525135189</v>
      </c>
      <c r="AK163" s="13">
        <v>0.324077</v>
      </c>
      <c r="AL163" s="13">
        <v>0.512529</v>
      </c>
      <c r="AM163" s="13">
        <v>0.5007</v>
      </c>
      <c r="AN163" s="13">
        <v>1.3165</v>
      </c>
      <c r="AO163" s="13">
        <v>0.287710362072053</v>
      </c>
      <c r="AP163" s="13">
        <v>1.18982933230001</v>
      </c>
      <c r="AQ163" s="13">
        <v>0.165256</v>
      </c>
      <c r="AR163" s="13">
        <v>30.876</v>
      </c>
      <c r="AS163" s="13">
        <v>1767.52550995958</v>
      </c>
      <c r="AT163" s="13">
        <f t="shared" si="19"/>
        <v>0.0174684890407642</v>
      </c>
      <c r="AU163" s="13">
        <v>59.49</v>
      </c>
      <c r="AV163" s="13">
        <f t="shared" si="20"/>
        <v>0.519011598587998</v>
      </c>
      <c r="AW163" s="13">
        <v>0.361755</v>
      </c>
      <c r="AX163" s="13">
        <v>0.514886</v>
      </c>
      <c r="AY163" s="13">
        <v>0.5713</v>
      </c>
      <c r="AZ163" s="13">
        <v>1.2756</v>
      </c>
      <c r="BA163" s="13">
        <v>0.442302747218496</v>
      </c>
      <c r="BB163" s="13">
        <v>1.42686221631913</v>
      </c>
      <c r="BC163" s="13">
        <v>0.180366</v>
      </c>
    </row>
    <row r="164" spans="1:55">
      <c r="A164" s="8" t="s">
        <v>557</v>
      </c>
      <c r="B164" s="8" t="s">
        <v>558</v>
      </c>
      <c r="C164" s="8" t="s">
        <v>82</v>
      </c>
      <c r="D164" s="9">
        <v>15110</v>
      </c>
      <c r="E164" s="8" t="s">
        <v>83</v>
      </c>
      <c r="F164" s="8" t="s">
        <v>67</v>
      </c>
      <c r="G164" s="10">
        <v>63092108231.46</v>
      </c>
      <c r="H164" s="10">
        <v>0</v>
      </c>
      <c r="I164" s="9">
        <v>2638831769</v>
      </c>
      <c r="J164" s="9">
        <v>3412949652</v>
      </c>
      <c r="K164" s="11">
        <v>100</v>
      </c>
      <c r="L164" s="12">
        <v>37553</v>
      </c>
      <c r="M164" s="12">
        <v>35104</v>
      </c>
      <c r="N164" s="9">
        <f t="shared" si="14"/>
        <v>2449</v>
      </c>
      <c r="O164" s="13">
        <v>22.68</v>
      </c>
      <c r="P164" s="13">
        <v>6.47</v>
      </c>
      <c r="Q164" s="13">
        <v>1.79</v>
      </c>
      <c r="R164" s="8" t="s">
        <v>559</v>
      </c>
      <c r="S164" s="13">
        <v>235050</v>
      </c>
      <c r="T164" s="13">
        <v>0.3</v>
      </c>
      <c r="U164" s="13">
        <v>14.4466</v>
      </c>
      <c r="V164" s="13">
        <f t="shared" si="15"/>
        <v>0.0207661318234048</v>
      </c>
      <c r="W164" s="13">
        <v>0.835</v>
      </c>
      <c r="X164" s="13">
        <f t="shared" si="16"/>
        <v>0.359281437125749</v>
      </c>
      <c r="Y164" s="13">
        <v>0.083281</v>
      </c>
      <c r="Z164" s="13">
        <v>0.058869</v>
      </c>
      <c r="AA164" s="13">
        <v>0.8501</v>
      </c>
      <c r="AB164" s="13">
        <v>1.6588</v>
      </c>
      <c r="AC164" s="13">
        <v>0.086</v>
      </c>
      <c r="AD164" s="13">
        <v>0.8882</v>
      </c>
      <c r="AE164" s="13">
        <v>0.066336</v>
      </c>
      <c r="AF164" s="13">
        <v>0.1</v>
      </c>
      <c r="AG164" s="13">
        <v>19.0826560761548</v>
      </c>
      <c r="AH164" s="13">
        <f t="shared" si="17"/>
        <v>0.00524036065005424</v>
      </c>
      <c r="AI164" s="13">
        <v>0.942</v>
      </c>
      <c r="AJ164" s="13">
        <f t="shared" si="18"/>
        <v>0.106157112526539</v>
      </c>
      <c r="AK164" s="13">
        <v>0.112901</v>
      </c>
      <c r="AL164" s="13">
        <v>0.084762</v>
      </c>
      <c r="AM164" s="13">
        <v>0.8541</v>
      </c>
      <c r="AN164" s="13">
        <v>1.6564</v>
      </c>
      <c r="AO164" s="13">
        <v>0.113348323535865</v>
      </c>
      <c r="AP164" s="13">
        <v>0.917189571548849</v>
      </c>
      <c r="AQ164" s="13">
        <v>-0.130966</v>
      </c>
      <c r="AR164" s="13">
        <v>0.22</v>
      </c>
      <c r="AS164" s="13">
        <v>15.6251659259504</v>
      </c>
      <c r="AT164" s="13">
        <f t="shared" si="19"/>
        <v>0.0140798504823953</v>
      </c>
      <c r="AU164" s="13">
        <v>0.913</v>
      </c>
      <c r="AV164" s="13">
        <f t="shared" si="20"/>
        <v>0.240963855421687</v>
      </c>
      <c r="AW164" s="13">
        <v>0.098695</v>
      </c>
      <c r="AX164" s="13">
        <v>0.07187</v>
      </c>
      <c r="AY164" s="13">
        <v>0.8717</v>
      </c>
      <c r="AZ164" s="13">
        <v>1.6372</v>
      </c>
      <c r="BA164" s="13">
        <v>0.100748655093889</v>
      </c>
      <c r="BB164" s="13">
        <v>0.902769584563443</v>
      </c>
      <c r="BC164" s="13">
        <v>0.119057</v>
      </c>
    </row>
    <row r="165" spans="1:55">
      <c r="A165" s="8" t="s">
        <v>560</v>
      </c>
      <c r="B165" s="8" t="s">
        <v>561</v>
      </c>
      <c r="C165" s="8" t="s">
        <v>89</v>
      </c>
      <c r="D165" s="9">
        <v>17439</v>
      </c>
      <c r="E165" s="8" t="s">
        <v>90</v>
      </c>
      <c r="F165" s="8" t="s">
        <v>67</v>
      </c>
      <c r="G165" s="10">
        <v>171961982952.41</v>
      </c>
      <c r="H165" s="10">
        <v>0</v>
      </c>
      <c r="I165" s="9">
        <v>1591574453</v>
      </c>
      <c r="J165" s="9">
        <v>4609929525</v>
      </c>
      <c r="K165" s="11">
        <v>78.4056</v>
      </c>
      <c r="L165" s="12">
        <v>37861</v>
      </c>
      <c r="M165" s="12">
        <v>36556</v>
      </c>
      <c r="N165" s="9">
        <f t="shared" si="14"/>
        <v>1305</v>
      </c>
      <c r="O165" s="13">
        <v>35.14</v>
      </c>
      <c r="P165" s="13">
        <v>21.59</v>
      </c>
      <c r="Q165" s="13">
        <v>5.82</v>
      </c>
      <c r="R165" s="8"/>
      <c r="S165" s="13">
        <v>102846</v>
      </c>
      <c r="T165" s="13">
        <v>0.148</v>
      </c>
      <c r="U165" s="13">
        <v>27.0934</v>
      </c>
      <c r="V165" s="13">
        <f t="shared" si="15"/>
        <v>0.00546258498379679</v>
      </c>
      <c r="W165" s="13">
        <v>0.57</v>
      </c>
      <c r="X165" s="13">
        <f t="shared" si="16"/>
        <v>0.259649122807018</v>
      </c>
      <c r="Y165" s="13">
        <v>0.08328</v>
      </c>
      <c r="Z165" s="13">
        <v>0.053796</v>
      </c>
      <c r="AA165" s="13">
        <v>0.559</v>
      </c>
      <c r="AB165" s="13">
        <v>4.1655</v>
      </c>
      <c r="AC165" s="13">
        <v>0.1617</v>
      </c>
      <c r="AD165" s="13">
        <v>0.2396</v>
      </c>
      <c r="AE165" s="13">
        <v>0.392115</v>
      </c>
      <c r="AF165" s="13">
        <v>0.07</v>
      </c>
      <c r="AG165" s="13">
        <v>19.4077043057398</v>
      </c>
      <c r="AH165" s="13">
        <f t="shared" si="17"/>
        <v>0.00360681505124218</v>
      </c>
      <c r="AI165" s="13">
        <v>0.2</v>
      </c>
      <c r="AJ165" s="13">
        <f t="shared" si="18"/>
        <v>0.35</v>
      </c>
      <c r="AK165" s="13">
        <v>0.040126</v>
      </c>
      <c r="AL165" s="13">
        <v>0.028296</v>
      </c>
      <c r="AM165" s="13">
        <v>0.5952</v>
      </c>
      <c r="AN165" s="13">
        <v>2.722</v>
      </c>
      <c r="AO165" s="13">
        <v>0.0590742634342039</v>
      </c>
      <c r="AP165" s="13">
        <v>0.364919387455232</v>
      </c>
      <c r="AQ165" s="13">
        <v>0.482417</v>
      </c>
      <c r="AR165" s="13">
        <v>0.14</v>
      </c>
      <c r="AS165" s="13">
        <v>23.4768773743532</v>
      </c>
      <c r="AT165" s="13">
        <f t="shared" si="19"/>
        <v>0.00596331436108875</v>
      </c>
      <c r="AU165" s="13">
        <v>0.42</v>
      </c>
      <c r="AV165" s="13">
        <f t="shared" si="20"/>
        <v>0.333333333333333</v>
      </c>
      <c r="AW165" s="13">
        <v>0.070579</v>
      </c>
      <c r="AX165" s="13">
        <v>0.048766</v>
      </c>
      <c r="AY165" s="13">
        <v>0.5261</v>
      </c>
      <c r="AZ165" s="13">
        <v>3.4159</v>
      </c>
      <c r="BA165" s="13">
        <v>0.1155416270036</v>
      </c>
      <c r="BB165" s="13">
        <v>0.289666066367697</v>
      </c>
      <c r="BC165" s="13">
        <v>0.1783</v>
      </c>
    </row>
    <row r="166" spans="1:55">
      <c r="A166" s="8" t="s">
        <v>562</v>
      </c>
      <c r="B166" s="8" t="s">
        <v>563</v>
      </c>
      <c r="C166" s="8" t="s">
        <v>57</v>
      </c>
      <c r="D166" s="9">
        <v>10927</v>
      </c>
      <c r="E166" s="8" t="s">
        <v>165</v>
      </c>
      <c r="F166" s="8" t="s">
        <v>222</v>
      </c>
      <c r="G166" s="10">
        <v>14300416799.6</v>
      </c>
      <c r="H166" s="10">
        <v>0</v>
      </c>
      <c r="I166" s="9">
        <v>1500387820</v>
      </c>
      <c r="J166" s="9">
        <v>1894130907</v>
      </c>
      <c r="K166" s="11">
        <v>100</v>
      </c>
      <c r="L166" s="12">
        <v>37971</v>
      </c>
      <c r="M166" s="12">
        <v>36873</v>
      </c>
      <c r="N166" s="9">
        <f t="shared" si="14"/>
        <v>1098</v>
      </c>
      <c r="O166" s="13">
        <v>20.78</v>
      </c>
      <c r="P166" s="13">
        <v>4.86</v>
      </c>
      <c r="Q166" s="13">
        <v>2.09</v>
      </c>
      <c r="R166" s="8" t="s">
        <v>564</v>
      </c>
      <c r="S166" s="13">
        <v>213767</v>
      </c>
      <c r="T166" s="13">
        <v>0.1</v>
      </c>
      <c r="U166" s="13">
        <v>25.2216</v>
      </c>
      <c r="V166" s="13">
        <f t="shared" si="15"/>
        <v>0.00396485552066483</v>
      </c>
      <c r="W166" s="13">
        <v>0.55</v>
      </c>
      <c r="X166" s="13">
        <f t="shared" si="16"/>
        <v>0.181818181818182</v>
      </c>
      <c r="Y166" s="13">
        <v>0.124978</v>
      </c>
      <c r="Z166" s="13">
        <v>0.15809</v>
      </c>
      <c r="AA166" s="13">
        <v>0.4526</v>
      </c>
      <c r="AB166" s="13">
        <v>1.742</v>
      </c>
      <c r="AC166" s="13">
        <v>0.1319</v>
      </c>
      <c r="AD166" s="13">
        <v>0.7984</v>
      </c>
      <c r="AE166" s="13">
        <v>-0.096155</v>
      </c>
      <c r="AF166" s="13">
        <v>0.13</v>
      </c>
      <c r="AG166" s="13">
        <v>41.5678617731536</v>
      </c>
      <c r="AH166" s="13">
        <f t="shared" si="17"/>
        <v>0.00312741609634489</v>
      </c>
      <c r="AI166" s="13">
        <v>0.57</v>
      </c>
      <c r="AJ166" s="13">
        <f t="shared" si="18"/>
        <v>0.228070175438597</v>
      </c>
      <c r="AK166" s="13">
        <v>0.174479</v>
      </c>
      <c r="AL166" s="13">
        <v>0.172217</v>
      </c>
      <c r="AM166" s="13">
        <v>0.5184</v>
      </c>
      <c r="AN166" s="13">
        <v>2.0057</v>
      </c>
      <c r="AO166" s="13">
        <v>0.175042296750898</v>
      </c>
      <c r="AP166" s="13">
        <v>0.833257675649741</v>
      </c>
      <c r="AQ166" s="13">
        <v>0.182988</v>
      </c>
      <c r="AR166" s="13">
        <v>0.13</v>
      </c>
      <c r="AS166" s="13">
        <v>40.710120197663</v>
      </c>
      <c r="AT166" s="13">
        <f t="shared" si="19"/>
        <v>0.00319330916658563</v>
      </c>
      <c r="AU166" s="13">
        <v>0.75</v>
      </c>
      <c r="AV166" s="13">
        <f t="shared" si="20"/>
        <v>0.173333333333333</v>
      </c>
      <c r="AW166" s="13">
        <v>0.191948</v>
      </c>
      <c r="AX166" s="13">
        <v>0.19821</v>
      </c>
      <c r="AY166" s="13">
        <v>0.5323</v>
      </c>
      <c r="AZ166" s="13">
        <v>1.8435</v>
      </c>
      <c r="BA166" s="13">
        <v>0.173230185248023</v>
      </c>
      <c r="BB166" s="13">
        <v>0.693266422535906</v>
      </c>
      <c r="BC166" s="13">
        <v>0.119774</v>
      </c>
    </row>
    <row r="167" spans="1:55">
      <c r="A167" s="8" t="s">
        <v>565</v>
      </c>
      <c r="B167" s="8" t="s">
        <v>566</v>
      </c>
      <c r="C167" s="8" t="s">
        <v>77</v>
      </c>
      <c r="D167" s="9">
        <v>24044</v>
      </c>
      <c r="E167" s="8" t="s">
        <v>83</v>
      </c>
      <c r="F167" s="8" t="s">
        <v>67</v>
      </c>
      <c r="G167" s="10">
        <v>52869212233.8</v>
      </c>
      <c r="H167" s="10">
        <v>1</v>
      </c>
      <c r="I167" s="9">
        <v>1386291648</v>
      </c>
      <c r="J167" s="9">
        <v>1789414570</v>
      </c>
      <c r="K167" s="11">
        <v>100</v>
      </c>
      <c r="L167" s="12">
        <v>37775</v>
      </c>
      <c r="M167" s="12">
        <v>36105</v>
      </c>
      <c r="N167" s="9">
        <f t="shared" si="14"/>
        <v>1670</v>
      </c>
      <c r="O167" s="13">
        <v>22.53</v>
      </c>
      <c r="P167" s="13">
        <v>3.5</v>
      </c>
      <c r="Q167" s="13">
        <v>2.95</v>
      </c>
      <c r="R167" s="8" t="s">
        <v>567</v>
      </c>
      <c r="S167" s="13">
        <v>376256</v>
      </c>
      <c r="T167" s="13">
        <v>0.12</v>
      </c>
      <c r="U167" s="13">
        <v>33.686</v>
      </c>
      <c r="V167" s="13">
        <f t="shared" si="15"/>
        <v>0.00356231075224129</v>
      </c>
      <c r="W167" s="13">
        <v>0.9</v>
      </c>
      <c r="X167" s="13">
        <f t="shared" si="16"/>
        <v>0.133333333333333</v>
      </c>
      <c r="Y167" s="13">
        <v>0.059965</v>
      </c>
      <c r="Z167" s="13">
        <v>0.044826</v>
      </c>
      <c r="AA167" s="13">
        <v>0.7442</v>
      </c>
      <c r="AB167" s="13">
        <v>1.8001</v>
      </c>
      <c r="AC167" s="13">
        <v>0.1622</v>
      </c>
      <c r="AD167" s="13">
        <v>0.7648</v>
      </c>
      <c r="AE167" s="13">
        <v>0.212425</v>
      </c>
      <c r="AF167" s="13">
        <v>0.2</v>
      </c>
      <c r="AG167" s="13">
        <v>25.5943444787289</v>
      </c>
      <c r="AH167" s="13">
        <f t="shared" si="17"/>
        <v>0.00781422630949651</v>
      </c>
      <c r="AI167" s="13">
        <v>1.82</v>
      </c>
      <c r="AJ167" s="13">
        <f t="shared" si="18"/>
        <v>0.10989010989011</v>
      </c>
      <c r="AK167" s="13">
        <v>0.141605</v>
      </c>
      <c r="AL167" s="13">
        <v>0.095699</v>
      </c>
      <c r="AM167" s="13">
        <v>0.8826</v>
      </c>
      <c r="AN167" s="13">
        <v>1.6765</v>
      </c>
      <c r="AO167" s="13">
        <v>0.178083743188662</v>
      </c>
      <c r="AP167" s="13">
        <v>0.614089975385686</v>
      </c>
      <c r="AQ167" s="13">
        <v>0.106864</v>
      </c>
      <c r="AR167" s="13">
        <v>0.1</v>
      </c>
      <c r="AS167" s="13">
        <v>31.0936705622404</v>
      </c>
      <c r="AT167" s="13">
        <f t="shared" si="19"/>
        <v>0.00321608861841607</v>
      </c>
      <c r="AU167" s="13">
        <v>0.82</v>
      </c>
      <c r="AV167" s="13">
        <f t="shared" si="20"/>
        <v>0.121951219512195</v>
      </c>
      <c r="AW167" s="13">
        <v>0.058006</v>
      </c>
      <c r="AX167" s="13">
        <v>0.049568</v>
      </c>
      <c r="AY167" s="13">
        <v>0.7236</v>
      </c>
      <c r="AZ167" s="13">
        <v>1.6168</v>
      </c>
      <c r="BA167" s="13">
        <v>0.149580405873151</v>
      </c>
      <c r="BB167" s="13">
        <v>0.994678430010777</v>
      </c>
      <c r="BC167" s="13">
        <v>-0.12147</v>
      </c>
    </row>
    <row r="168" spans="1:55">
      <c r="A168" s="8" t="s">
        <v>568</v>
      </c>
      <c r="B168" s="8" t="s">
        <v>569</v>
      </c>
      <c r="C168" s="8" t="s">
        <v>89</v>
      </c>
      <c r="D168" s="9">
        <v>49397</v>
      </c>
      <c r="E168" s="8" t="s">
        <v>108</v>
      </c>
      <c r="F168" s="8" t="s">
        <v>67</v>
      </c>
      <c r="G168" s="10">
        <v>255341524929</v>
      </c>
      <c r="H168" s="10">
        <v>0</v>
      </c>
      <c r="I168" s="9">
        <v>2070832565</v>
      </c>
      <c r="J168" s="9">
        <v>5299302579</v>
      </c>
      <c r="K168" s="11">
        <v>75.476</v>
      </c>
      <c r="L168" s="12">
        <v>37294</v>
      </c>
      <c r="M168" s="12">
        <v>35674</v>
      </c>
      <c r="N168" s="9">
        <f t="shared" si="14"/>
        <v>1620</v>
      </c>
      <c r="O168" s="13">
        <v>36.4</v>
      </c>
      <c r="P168" s="13">
        <v>24.49</v>
      </c>
      <c r="Q168" s="13">
        <v>2.96</v>
      </c>
      <c r="R168" s="8" t="s">
        <v>570</v>
      </c>
      <c r="S168" s="13">
        <v>251403</v>
      </c>
      <c r="T168" s="13">
        <v>0.71</v>
      </c>
      <c r="U168" s="13">
        <v>24.0045</v>
      </c>
      <c r="V168" s="13">
        <f t="shared" si="15"/>
        <v>0.0295777874981774</v>
      </c>
      <c r="W168" s="13">
        <v>1.46</v>
      </c>
      <c r="X168" s="13">
        <f t="shared" si="16"/>
        <v>0.486301369863014</v>
      </c>
      <c r="Y168" s="13">
        <v>0.041237</v>
      </c>
      <c r="Z168" s="13">
        <v>0.084184</v>
      </c>
      <c r="AA168" s="13">
        <v>0.3635</v>
      </c>
      <c r="AB168" s="13">
        <v>1.3418</v>
      </c>
      <c r="AC168" s="13">
        <v>0.203</v>
      </c>
      <c r="AD168" s="13">
        <v>2.653</v>
      </c>
      <c r="AE168" s="13">
        <v>-0.355119</v>
      </c>
      <c r="AF168" s="13">
        <v>1.48</v>
      </c>
      <c r="AG168" s="13">
        <v>34.7889397531408</v>
      </c>
      <c r="AH168" s="13">
        <f t="shared" si="17"/>
        <v>0.0425422565476829</v>
      </c>
      <c r="AI168" s="13">
        <v>2.96</v>
      </c>
      <c r="AJ168" s="13">
        <f t="shared" si="18"/>
        <v>0.5</v>
      </c>
      <c r="AK168" s="13">
        <v>0.085269</v>
      </c>
      <c r="AL168" s="13">
        <v>0.122252</v>
      </c>
      <c r="AM168" s="13">
        <v>0.5565</v>
      </c>
      <c r="AN168" s="13">
        <v>1.2918</v>
      </c>
      <c r="AO168" s="13">
        <v>0.073088580196501</v>
      </c>
      <c r="AP168" s="13">
        <v>2.17064159471687</v>
      </c>
      <c r="AQ168" s="13">
        <v>-0.213969</v>
      </c>
      <c r="AR168" s="13">
        <v>0.96</v>
      </c>
      <c r="AS168" s="13">
        <v>26.6429537602264</v>
      </c>
      <c r="AT168" s="13">
        <f t="shared" si="19"/>
        <v>0.0360320409155656</v>
      </c>
      <c r="AU168" s="13">
        <v>1.97</v>
      </c>
      <c r="AV168" s="13">
        <f t="shared" si="20"/>
        <v>0.487309644670051</v>
      </c>
      <c r="AW168" s="13">
        <v>0.056538</v>
      </c>
      <c r="AX168" s="13">
        <v>0.076236</v>
      </c>
      <c r="AY168" s="13">
        <v>0.5753</v>
      </c>
      <c r="AZ168" s="13">
        <v>1.3285</v>
      </c>
      <c r="BA168" s="13">
        <v>0.142593227878739</v>
      </c>
      <c r="BB168" s="13">
        <v>2.59274257134216</v>
      </c>
      <c r="BC168" s="13">
        <v>0.068003</v>
      </c>
    </row>
    <row r="169" spans="1:55">
      <c r="A169" s="8" t="s">
        <v>571</v>
      </c>
      <c r="B169" s="8" t="s">
        <v>572</v>
      </c>
      <c r="C169" s="8" t="s">
        <v>82</v>
      </c>
      <c r="D169" s="9">
        <v>19105</v>
      </c>
      <c r="E169" s="8" t="s">
        <v>132</v>
      </c>
      <c r="F169" s="8" t="s">
        <v>222</v>
      </c>
      <c r="G169" s="10">
        <v>21507121271</v>
      </c>
      <c r="H169" s="10">
        <v>0</v>
      </c>
      <c r="I169" s="9">
        <v>1787476627</v>
      </c>
      <c r="J169" s="9">
        <v>3416997409</v>
      </c>
      <c r="K169" s="11">
        <v>100</v>
      </c>
      <c r="L169" s="12">
        <v>37029</v>
      </c>
      <c r="M169" s="12">
        <v>34717</v>
      </c>
      <c r="N169" s="9">
        <f t="shared" si="14"/>
        <v>2312</v>
      </c>
      <c r="O169" s="13">
        <v>26.96</v>
      </c>
      <c r="P169" s="13">
        <v>11.47</v>
      </c>
      <c r="Q169" s="13">
        <v>3.75</v>
      </c>
      <c r="R169" s="8" t="s">
        <v>573</v>
      </c>
      <c r="S169" s="13">
        <v>198256</v>
      </c>
      <c r="T169" s="13"/>
      <c r="U169" s="13">
        <v>11.7076</v>
      </c>
      <c r="V169" s="13">
        <f t="shared" si="15"/>
        <v>0</v>
      </c>
      <c r="W169" s="13">
        <v>-0.62</v>
      </c>
      <c r="X169" s="13">
        <f t="shared" si="16"/>
        <v>0</v>
      </c>
      <c r="Y169" s="13">
        <v>-0.224067</v>
      </c>
      <c r="Z169" s="13">
        <v>-0.226144</v>
      </c>
      <c r="AA169" s="13">
        <v>0.3685</v>
      </c>
      <c r="AB169" s="13">
        <v>2.7</v>
      </c>
      <c r="AC169" s="13">
        <v>-0.0299</v>
      </c>
      <c r="AD169" s="13">
        <v>0.534</v>
      </c>
      <c r="AE169" s="13">
        <v>-0.065673</v>
      </c>
      <c r="AF169" s="13">
        <v>0.06</v>
      </c>
      <c r="AG169" s="13">
        <v>23.576712919926</v>
      </c>
      <c r="AH169" s="13">
        <f t="shared" si="17"/>
        <v>0.00254488402194908</v>
      </c>
      <c r="AI169" s="13">
        <v>0.06</v>
      </c>
      <c r="AJ169" s="13">
        <f t="shared" si="18"/>
        <v>1</v>
      </c>
      <c r="AK169" s="13">
        <v>0.02376</v>
      </c>
      <c r="AL169" s="13">
        <v>0.024272</v>
      </c>
      <c r="AM169" s="13">
        <v>0.4531</v>
      </c>
      <c r="AN169" s="13">
        <v>2.2161</v>
      </c>
      <c r="AO169" s="13">
        <v>0.0308755143245098</v>
      </c>
      <c r="AP169" s="13">
        <v>0.884525432356876</v>
      </c>
      <c r="AQ169" s="13">
        <v>0.036941</v>
      </c>
      <c r="AR169" s="13"/>
      <c r="AS169" s="13">
        <v>22.0059129390224</v>
      </c>
      <c r="AT169" s="13">
        <f t="shared" si="19"/>
        <v>0</v>
      </c>
      <c r="AU169" s="13">
        <v>-0.29</v>
      </c>
      <c r="AV169" s="13">
        <f t="shared" si="20"/>
        <v>0</v>
      </c>
      <c r="AW169" s="13">
        <v>-0.089497</v>
      </c>
      <c r="AX169" s="13">
        <v>-0.095267</v>
      </c>
      <c r="AY169" s="13">
        <v>0.3992</v>
      </c>
      <c r="AZ169" s="13">
        <v>2.2706</v>
      </c>
      <c r="BA169" s="13">
        <v>-0.00923854966232427</v>
      </c>
      <c r="BB169" s="13">
        <v>0.758975055840323</v>
      </c>
      <c r="BC169" s="13">
        <v>0.057692</v>
      </c>
    </row>
    <row r="170" spans="1:55">
      <c r="A170" s="8" t="s">
        <v>574</v>
      </c>
      <c r="B170" s="8" t="s">
        <v>575</v>
      </c>
      <c r="C170" s="8" t="s">
        <v>89</v>
      </c>
      <c r="D170" s="9">
        <v>29870</v>
      </c>
      <c r="E170" s="8" t="s">
        <v>90</v>
      </c>
      <c r="F170" s="8" t="s">
        <v>67</v>
      </c>
      <c r="G170" s="10">
        <v>51390464744</v>
      </c>
      <c r="H170" s="10">
        <v>0</v>
      </c>
      <c r="I170" s="9">
        <v>303993888</v>
      </c>
      <c r="J170" s="9">
        <v>1364195121</v>
      </c>
      <c r="K170" s="11">
        <v>51.9813</v>
      </c>
      <c r="L170" s="12">
        <v>34208</v>
      </c>
      <c r="M170" s="12">
        <v>35060</v>
      </c>
      <c r="N170" s="9">
        <f t="shared" si="14"/>
        <v>-852</v>
      </c>
      <c r="O170" s="13">
        <v>45.01</v>
      </c>
      <c r="P170" s="13">
        <v>32.51</v>
      </c>
      <c r="Q170" s="13">
        <v>1.17</v>
      </c>
      <c r="R170" s="8" t="s">
        <v>576</v>
      </c>
      <c r="S170" s="13">
        <v>98123</v>
      </c>
      <c r="T170" s="13">
        <v>2.2</v>
      </c>
      <c r="U170" s="13">
        <v>73.2343</v>
      </c>
      <c r="V170" s="13">
        <f t="shared" si="15"/>
        <v>0.0300405684221738</v>
      </c>
      <c r="W170" s="13">
        <v>3.191</v>
      </c>
      <c r="X170" s="13">
        <f t="shared" si="16"/>
        <v>0.689439047320589</v>
      </c>
      <c r="Y170" s="13">
        <v>0.153778</v>
      </c>
      <c r="Z170" s="13">
        <v>0.139766</v>
      </c>
      <c r="AA170" s="13">
        <v>0.6384</v>
      </c>
      <c r="AB170" s="13">
        <v>1.7816</v>
      </c>
      <c r="AC170" s="13">
        <v>0.1604</v>
      </c>
      <c r="AD170" s="13">
        <v>1.1414</v>
      </c>
      <c r="AE170" s="13">
        <v>-0.053002</v>
      </c>
      <c r="AF170" s="13">
        <v>1.8</v>
      </c>
      <c r="AG170" s="13">
        <v>94.2006516808857</v>
      </c>
      <c r="AH170" s="13">
        <f t="shared" si="17"/>
        <v>0.0191081480635366</v>
      </c>
      <c r="AI170" s="13">
        <v>2.736</v>
      </c>
      <c r="AJ170" s="13">
        <f t="shared" si="18"/>
        <v>0.657894736842105</v>
      </c>
      <c r="AK170" s="13">
        <v>0.153026</v>
      </c>
      <c r="AL170" s="13">
        <v>0.118263</v>
      </c>
      <c r="AM170" s="13">
        <v>0.6642</v>
      </c>
      <c r="AN170" s="13">
        <v>1.9976</v>
      </c>
      <c r="AO170" s="13">
        <v>0.151648551364265</v>
      </c>
      <c r="AP170" s="13">
        <v>1.0443000369099</v>
      </c>
      <c r="AQ170" s="13">
        <v>0.066456</v>
      </c>
      <c r="AR170" s="13">
        <v>2</v>
      </c>
      <c r="AS170" s="13">
        <v>98.1335028943441</v>
      </c>
      <c r="AT170" s="13">
        <f t="shared" si="19"/>
        <v>0.0203803995680589</v>
      </c>
      <c r="AU170" s="13">
        <v>3.139</v>
      </c>
      <c r="AV170" s="13">
        <f t="shared" si="20"/>
        <v>0.637145587766805</v>
      </c>
      <c r="AW170" s="13">
        <v>0.16122</v>
      </c>
      <c r="AX170" s="13">
        <v>0.128127</v>
      </c>
      <c r="AY170" s="13">
        <v>0.6817</v>
      </c>
      <c r="AZ170" s="13">
        <v>1.8806</v>
      </c>
      <c r="BA170" s="13">
        <v>0.0818459557921742</v>
      </c>
      <c r="BB170" s="13">
        <v>1.25343312082749</v>
      </c>
      <c r="BC170" s="13">
        <v>0.054861</v>
      </c>
    </row>
    <row r="171" spans="1:55">
      <c r="A171" s="8" t="s">
        <v>577</v>
      </c>
      <c r="B171" s="8" t="s">
        <v>578</v>
      </c>
      <c r="C171" s="8" t="s">
        <v>157</v>
      </c>
      <c r="D171" s="9">
        <v>39050</v>
      </c>
      <c r="E171" s="8" t="s">
        <v>370</v>
      </c>
      <c r="F171" s="8" t="s">
        <v>67</v>
      </c>
      <c r="G171" s="10">
        <v>70641939363</v>
      </c>
      <c r="H171" s="10">
        <v>0</v>
      </c>
      <c r="I171" s="9">
        <v>1418816828</v>
      </c>
      <c r="J171" s="9">
        <v>2609743532</v>
      </c>
      <c r="K171" s="11">
        <v>76.7503</v>
      </c>
      <c r="L171" s="12">
        <v>34130</v>
      </c>
      <c r="M171" s="12">
        <v>33776</v>
      </c>
      <c r="N171" s="9">
        <f t="shared" si="14"/>
        <v>354</v>
      </c>
      <c r="O171" s="13">
        <v>22.83</v>
      </c>
      <c r="P171" s="13">
        <v>15.24</v>
      </c>
      <c r="Q171" s="13">
        <v>14.97</v>
      </c>
      <c r="R171" s="8" t="s">
        <v>579</v>
      </c>
      <c r="S171" s="13">
        <v>85733</v>
      </c>
      <c r="T171" s="13">
        <v>1.8</v>
      </c>
      <c r="U171" s="13">
        <v>48.8657</v>
      </c>
      <c r="V171" s="13">
        <f t="shared" si="15"/>
        <v>0.0368356536384417</v>
      </c>
      <c r="W171" s="13">
        <v>2.87</v>
      </c>
      <c r="X171" s="13">
        <f t="shared" si="16"/>
        <v>0.627177700348432</v>
      </c>
      <c r="Y171" s="13">
        <v>0.223418</v>
      </c>
      <c r="Z171" s="13">
        <v>0.191178</v>
      </c>
      <c r="AA171" s="13">
        <v>0.6548</v>
      </c>
      <c r="AB171" s="13">
        <v>1.7861</v>
      </c>
      <c r="AC171" s="13">
        <v>0.2181</v>
      </c>
      <c r="AD171" s="13">
        <v>1.0898</v>
      </c>
      <c r="AE171" s="13">
        <v>0.183669</v>
      </c>
      <c r="AF171" s="13">
        <v>1.25</v>
      </c>
      <c r="AG171" s="13">
        <v>39.190203315774</v>
      </c>
      <c r="AH171" s="13">
        <f t="shared" si="17"/>
        <v>0.0318957263356906</v>
      </c>
      <c r="AI171" s="13">
        <v>1.82</v>
      </c>
      <c r="AJ171" s="13">
        <f t="shared" si="18"/>
        <v>0.686813186813187</v>
      </c>
      <c r="AK171" s="13">
        <v>0.171965</v>
      </c>
      <c r="AL171" s="13">
        <v>0.169146</v>
      </c>
      <c r="AM171" s="13">
        <v>0.5881</v>
      </c>
      <c r="AN171" s="13">
        <v>1.7276</v>
      </c>
      <c r="AO171" s="13">
        <v>0.209726083234348</v>
      </c>
      <c r="AP171" s="13">
        <v>0.992576846548641</v>
      </c>
      <c r="AQ171" s="13">
        <v>0.190471</v>
      </c>
      <c r="AR171" s="13">
        <v>1.3</v>
      </c>
      <c r="AS171" s="13">
        <v>36.3098264305399</v>
      </c>
      <c r="AT171" s="13">
        <f t="shared" si="19"/>
        <v>0.0358029802892856</v>
      </c>
      <c r="AU171" s="13">
        <v>2.16</v>
      </c>
      <c r="AV171" s="13">
        <f t="shared" si="20"/>
        <v>0.601851851851852</v>
      </c>
      <c r="AW171" s="13">
        <v>0.186309</v>
      </c>
      <c r="AX171" s="13">
        <v>0.169751</v>
      </c>
      <c r="AY171" s="13">
        <v>0.6175</v>
      </c>
      <c r="AZ171" s="13">
        <v>1.7773</v>
      </c>
      <c r="BA171" s="13">
        <v>0.229926168159042</v>
      </c>
      <c r="BB171" s="13">
        <v>1.25088770311051</v>
      </c>
      <c r="BC171" s="13">
        <v>0.180159</v>
      </c>
    </row>
    <row r="172" spans="1:55">
      <c r="A172" s="8" t="s">
        <v>580</v>
      </c>
      <c r="B172" s="8" t="s">
        <v>581</v>
      </c>
      <c r="C172" s="8" t="s">
        <v>89</v>
      </c>
      <c r="D172" s="9">
        <v>1443</v>
      </c>
      <c r="E172" s="8" t="s">
        <v>104</v>
      </c>
      <c r="F172" s="8" t="s">
        <v>307</v>
      </c>
      <c r="G172" s="10">
        <v>68806177425.38</v>
      </c>
      <c r="H172" s="10">
        <v>0</v>
      </c>
      <c r="I172" s="9">
        <v>1641038792</v>
      </c>
      <c r="J172" s="9">
        <v>4874606828</v>
      </c>
      <c r="K172" s="11">
        <v>100</v>
      </c>
      <c r="L172" s="12">
        <v>34236</v>
      </c>
      <c r="M172" s="12">
        <v>32251</v>
      </c>
      <c r="N172" s="9">
        <f t="shared" si="14"/>
        <v>1985</v>
      </c>
      <c r="O172" s="13">
        <v>50.24</v>
      </c>
      <c r="P172" s="13">
        <v>9.94</v>
      </c>
      <c r="Q172" s="13">
        <v>4.13</v>
      </c>
      <c r="R172" s="8" t="s">
        <v>582</v>
      </c>
      <c r="S172" s="13">
        <v>77605</v>
      </c>
      <c r="T172" s="13">
        <v>0.4</v>
      </c>
      <c r="U172" s="13">
        <v>17.1556</v>
      </c>
      <c r="V172" s="13">
        <f t="shared" si="15"/>
        <v>0.0233160017720161</v>
      </c>
      <c r="W172" s="13">
        <v>0.9294</v>
      </c>
      <c r="X172" s="13">
        <f t="shared" si="16"/>
        <v>0.430385194749301</v>
      </c>
      <c r="Y172" s="13">
        <v>0.113788</v>
      </c>
      <c r="Z172" s="13">
        <v>2.877709</v>
      </c>
      <c r="AA172" s="13">
        <v>0.0257</v>
      </c>
      <c r="AB172" s="13">
        <v>1.5828</v>
      </c>
      <c r="AC172" s="13">
        <v>0.5466</v>
      </c>
      <c r="AD172" s="13">
        <v>0.4648</v>
      </c>
      <c r="AE172" s="13">
        <v>0.08542</v>
      </c>
      <c r="AF172" s="13">
        <v>0.4</v>
      </c>
      <c r="AG172" s="13">
        <v>12.1112643032033</v>
      </c>
      <c r="AH172" s="13">
        <f t="shared" si="17"/>
        <v>0.033027105179614</v>
      </c>
      <c r="AI172" s="13">
        <v>0.7957</v>
      </c>
      <c r="AJ172" s="13">
        <f t="shared" si="18"/>
        <v>0.502702023375644</v>
      </c>
      <c r="AK172" s="13">
        <v>0.108055</v>
      </c>
      <c r="AL172" s="13">
        <v>2.514978</v>
      </c>
      <c r="AM172" s="13">
        <v>0.0275</v>
      </c>
      <c r="AN172" s="13">
        <v>1.5858</v>
      </c>
      <c r="AO172" s="13">
        <v>0.431939763953807</v>
      </c>
      <c r="AP172" s="13">
        <v>0.383826429077193</v>
      </c>
      <c r="AQ172" s="13">
        <v>0.124339</v>
      </c>
      <c r="AR172" s="13">
        <v>0.4</v>
      </c>
      <c r="AS172" s="13">
        <v>14.3169474968018</v>
      </c>
      <c r="AT172" s="13">
        <f t="shared" si="19"/>
        <v>0.0279389164547369</v>
      </c>
      <c r="AU172" s="13">
        <v>0.9864</v>
      </c>
      <c r="AV172" s="13">
        <f t="shared" si="20"/>
        <v>0.40551500405515</v>
      </c>
      <c r="AW172" s="13">
        <v>0.124107</v>
      </c>
      <c r="AX172" s="13">
        <v>3.0407</v>
      </c>
      <c r="AY172" s="13">
        <v>0.0258</v>
      </c>
      <c r="AZ172" s="13">
        <v>1.6227</v>
      </c>
      <c r="BA172" s="13">
        <v>0.401833422404401</v>
      </c>
      <c r="BB172" s="13">
        <v>0.265568799756598</v>
      </c>
      <c r="BC172" s="13">
        <v>0.04361</v>
      </c>
    </row>
    <row r="173" spans="1:55">
      <c r="A173" s="8" t="s">
        <v>583</v>
      </c>
      <c r="B173" s="8" t="s">
        <v>584</v>
      </c>
      <c r="C173" s="8" t="s">
        <v>232</v>
      </c>
      <c r="D173" s="9">
        <v>122733</v>
      </c>
      <c r="E173" s="8" t="s">
        <v>90</v>
      </c>
      <c r="F173" s="8" t="s">
        <v>67</v>
      </c>
      <c r="G173" s="10">
        <v>291516018779.6</v>
      </c>
      <c r="H173" s="10">
        <v>0</v>
      </c>
      <c r="I173" s="9">
        <v>3615689205</v>
      </c>
      <c r="J173" s="9">
        <v>9377629650</v>
      </c>
      <c r="K173" s="11">
        <v>66.6803</v>
      </c>
      <c r="L173" s="12">
        <v>34292</v>
      </c>
      <c r="M173" s="12">
        <v>34424</v>
      </c>
      <c r="N173" s="9">
        <f t="shared" si="14"/>
        <v>-132</v>
      </c>
      <c r="O173" s="13">
        <v>24.66</v>
      </c>
      <c r="P173" s="13">
        <v>13.41</v>
      </c>
      <c r="Q173" s="13">
        <v>11.43</v>
      </c>
      <c r="R173" s="8" t="s">
        <v>585</v>
      </c>
      <c r="S173" s="13">
        <v>190587</v>
      </c>
      <c r="T173" s="13">
        <v>0.96504</v>
      </c>
      <c r="U173" s="13">
        <v>27.3596</v>
      </c>
      <c r="V173" s="13">
        <f t="shared" si="15"/>
        <v>0.0352724455035892</v>
      </c>
      <c r="W173" s="13">
        <v>2.02</v>
      </c>
      <c r="X173" s="13">
        <f t="shared" si="16"/>
        <v>0.477742574257426</v>
      </c>
      <c r="Y173" s="13">
        <v>0.174433</v>
      </c>
      <c r="Z173" s="13">
        <v>0.068451</v>
      </c>
      <c r="AA173" s="13">
        <v>1.0524</v>
      </c>
      <c r="AB173" s="13">
        <v>2.5293</v>
      </c>
      <c r="AC173" s="13">
        <v>0.0928</v>
      </c>
      <c r="AD173" s="13">
        <v>0.4609</v>
      </c>
      <c r="AE173" s="13">
        <v>0.042949</v>
      </c>
      <c r="AF173" s="13">
        <v>0.56692</v>
      </c>
      <c r="AG173" s="13">
        <v>24.9451757686887</v>
      </c>
      <c r="AH173" s="13">
        <f t="shared" si="17"/>
        <v>0.0227266388201442</v>
      </c>
      <c r="AI173" s="13">
        <v>1.58</v>
      </c>
      <c r="AJ173" s="13">
        <f t="shared" si="18"/>
        <v>0.358810126582278</v>
      </c>
      <c r="AK173" s="13">
        <v>0.169839</v>
      </c>
      <c r="AL173" s="13">
        <v>0.060498</v>
      </c>
      <c r="AM173" s="13">
        <v>1.0744</v>
      </c>
      <c r="AN173" s="13">
        <v>2.6167</v>
      </c>
      <c r="AO173" s="13">
        <v>0.0827613274577215</v>
      </c>
      <c r="AP173" s="13">
        <v>0.541494632170323</v>
      </c>
      <c r="AQ173" s="13">
        <v>0.072247</v>
      </c>
      <c r="AR173" s="13">
        <v>0.80131</v>
      </c>
      <c r="AS173" s="13">
        <v>23.4275876945024</v>
      </c>
      <c r="AT173" s="13">
        <f t="shared" si="19"/>
        <v>0.0342036922643998</v>
      </c>
      <c r="AU173" s="13">
        <v>1.79</v>
      </c>
      <c r="AV173" s="13">
        <f t="shared" si="20"/>
        <v>0.447659217877095</v>
      </c>
      <c r="AW173" s="13">
        <v>0.168548</v>
      </c>
      <c r="AX173" s="13">
        <v>0.064003</v>
      </c>
      <c r="AY173" s="13">
        <v>1.0687</v>
      </c>
      <c r="AZ173" s="13">
        <v>2.4842</v>
      </c>
      <c r="BA173" s="13">
        <v>0.0966323316273493</v>
      </c>
      <c r="BB173" s="13">
        <v>0.533935518106459</v>
      </c>
      <c r="BC173" s="13">
        <v>0.073278</v>
      </c>
    </row>
    <row r="174" spans="1:55">
      <c r="A174" s="8" t="s">
        <v>586</v>
      </c>
      <c r="B174" s="8" t="s">
        <v>587</v>
      </c>
      <c r="C174" s="8" t="s">
        <v>89</v>
      </c>
      <c r="D174" s="9">
        <v>52299</v>
      </c>
      <c r="E174" s="8" t="s">
        <v>198</v>
      </c>
      <c r="F174" s="8" t="s">
        <v>67</v>
      </c>
      <c r="G174" s="10">
        <v>198243635482.1</v>
      </c>
      <c r="H174" s="10">
        <v>0</v>
      </c>
      <c r="I174" s="9">
        <v>1314060855</v>
      </c>
      <c r="J174" s="9">
        <v>3152723984</v>
      </c>
      <c r="K174" s="11">
        <v>100</v>
      </c>
      <c r="L174" s="12">
        <v>35303</v>
      </c>
      <c r="M174" s="12">
        <v>33905</v>
      </c>
      <c r="N174" s="9">
        <f t="shared" si="14"/>
        <v>1398</v>
      </c>
      <c r="O174" s="13">
        <v>58.32</v>
      </c>
      <c r="P174" s="13">
        <v>5.21</v>
      </c>
      <c r="Q174" s="13">
        <v>2.99</v>
      </c>
      <c r="R174" s="8" t="s">
        <v>588</v>
      </c>
      <c r="S174" s="13">
        <v>61471</v>
      </c>
      <c r="T174" s="13">
        <v>0.8</v>
      </c>
      <c r="U174" s="13">
        <v>16.5416</v>
      </c>
      <c r="V174" s="13">
        <f t="shared" si="15"/>
        <v>0.0483629153165353</v>
      </c>
      <c r="W174" s="13">
        <v>2.122</v>
      </c>
      <c r="X174" s="13">
        <f t="shared" si="16"/>
        <v>0.377002827521206</v>
      </c>
      <c r="Y174" s="13">
        <v>0.111687</v>
      </c>
      <c r="Z174" s="13">
        <v>0.044313</v>
      </c>
      <c r="AA174" s="13">
        <v>0.9352</v>
      </c>
      <c r="AB174" s="13">
        <v>3.0139</v>
      </c>
      <c r="AC174" s="13">
        <v>0.0482</v>
      </c>
      <c r="AD174" s="13">
        <v>0.3426</v>
      </c>
      <c r="AE174" s="13">
        <v>0.001531</v>
      </c>
      <c r="AF174" s="13">
        <v>0.88</v>
      </c>
      <c r="AG174" s="13">
        <v>21.1001006272643</v>
      </c>
      <c r="AH174" s="13">
        <f t="shared" si="17"/>
        <v>0.0417059622390102</v>
      </c>
      <c r="AI174" s="13">
        <v>2.285</v>
      </c>
      <c r="AJ174" s="13">
        <f t="shared" si="18"/>
        <v>0.385120350109409</v>
      </c>
      <c r="AK174" s="13">
        <v>0.140533</v>
      </c>
      <c r="AL174" s="13">
        <v>0.050934</v>
      </c>
      <c r="AM174" s="13">
        <v>0.9997</v>
      </c>
      <c r="AN174" s="13">
        <v>3.0889</v>
      </c>
      <c r="AO174" s="13">
        <v>0.0631151662381059</v>
      </c>
      <c r="AP174" s="13">
        <v>0.364402462897479</v>
      </c>
      <c r="AQ174" s="13">
        <v>0.130936</v>
      </c>
      <c r="AR174" s="13">
        <v>0.75</v>
      </c>
      <c r="AS174" s="13">
        <v>17.8816132829395</v>
      </c>
      <c r="AT174" s="13">
        <f t="shared" si="19"/>
        <v>0.0419425243199706</v>
      </c>
      <c r="AU174" s="13">
        <v>2.288</v>
      </c>
      <c r="AV174" s="13">
        <f t="shared" si="20"/>
        <v>0.327797202797203</v>
      </c>
      <c r="AW174" s="13">
        <v>0.130295</v>
      </c>
      <c r="AX174" s="13">
        <v>0.048013</v>
      </c>
      <c r="AY174" s="13">
        <v>0.995</v>
      </c>
      <c r="AZ174" s="13">
        <v>3.0604</v>
      </c>
      <c r="BA174" s="13">
        <v>0.0671182524823844</v>
      </c>
      <c r="BB174" s="13">
        <v>0.400477467937948</v>
      </c>
      <c r="BC174" s="13">
        <v>0.065245</v>
      </c>
    </row>
    <row r="175" spans="1:55">
      <c r="A175" s="8" t="s">
        <v>589</v>
      </c>
      <c r="B175" s="8" t="s">
        <v>590</v>
      </c>
      <c r="C175" s="8" t="s">
        <v>77</v>
      </c>
      <c r="D175" s="9">
        <v>16295</v>
      </c>
      <c r="E175" s="8" t="s">
        <v>90</v>
      </c>
      <c r="F175" s="8" t="s">
        <v>67</v>
      </c>
      <c r="G175" s="10">
        <v>63789588473.36</v>
      </c>
      <c r="H175" s="10">
        <v>3</v>
      </c>
      <c r="I175" s="9">
        <v>849708824</v>
      </c>
      <c r="J175" s="9">
        <v>2835094714</v>
      </c>
      <c r="K175" s="11">
        <v>96.9345</v>
      </c>
      <c r="L175" s="12">
        <v>35349</v>
      </c>
      <c r="M175" s="12">
        <v>35220</v>
      </c>
      <c r="N175" s="9">
        <f t="shared" si="14"/>
        <v>129</v>
      </c>
      <c r="O175" s="13">
        <v>64.07</v>
      </c>
      <c r="P175" s="13">
        <v>1.82</v>
      </c>
      <c r="Q175" s="13">
        <v>1.43</v>
      </c>
      <c r="R175" s="8" t="s">
        <v>591</v>
      </c>
      <c r="S175" s="13">
        <v>100034</v>
      </c>
      <c r="T175" s="13">
        <v>0.26</v>
      </c>
      <c r="U175" s="13">
        <v>45.5579</v>
      </c>
      <c r="V175" s="13">
        <f t="shared" si="15"/>
        <v>0.0057070233702607</v>
      </c>
      <c r="W175" s="13">
        <v>1.23</v>
      </c>
      <c r="X175" s="13">
        <f t="shared" si="16"/>
        <v>0.211382113821138</v>
      </c>
      <c r="Y175" s="13">
        <v>0.210992</v>
      </c>
      <c r="Z175" s="13">
        <v>0.079671</v>
      </c>
      <c r="AA175" s="13">
        <v>0.7319</v>
      </c>
      <c r="AB175" s="13">
        <v>3.6385</v>
      </c>
      <c r="AC175" s="13">
        <v>-0.0874</v>
      </c>
      <c r="AD175" s="13">
        <v>0.2748</v>
      </c>
      <c r="AE175" s="13">
        <v>-0.073745</v>
      </c>
      <c r="AF175" s="13">
        <v>0.4</v>
      </c>
      <c r="AG175" s="13">
        <v>59.3904386958979</v>
      </c>
      <c r="AH175" s="13">
        <f t="shared" si="17"/>
        <v>0.00673509084598878</v>
      </c>
      <c r="AI175" s="13">
        <v>1.18</v>
      </c>
      <c r="AJ175" s="13">
        <f t="shared" si="18"/>
        <v>0.338983050847458</v>
      </c>
      <c r="AK175" s="13">
        <v>0.190097</v>
      </c>
      <c r="AL175" s="13">
        <v>0.055601</v>
      </c>
      <c r="AM175" s="13">
        <v>0.6843</v>
      </c>
      <c r="AN175" s="13">
        <v>5.0133</v>
      </c>
      <c r="AO175" s="13">
        <v>0.0643700539184819</v>
      </c>
      <c r="AP175" s="13">
        <v>0.512218094652862</v>
      </c>
      <c r="AQ175" s="13">
        <v>0.19925</v>
      </c>
      <c r="AR175" s="13">
        <v>0.4</v>
      </c>
      <c r="AS175" s="13">
        <v>49.6446406794313</v>
      </c>
      <c r="AT175" s="13">
        <f t="shared" si="19"/>
        <v>0.00805726448062958</v>
      </c>
      <c r="AU175" s="13">
        <v>1.09</v>
      </c>
      <c r="AV175" s="13">
        <f t="shared" si="20"/>
        <v>0.36697247706422</v>
      </c>
      <c r="AW175" s="13">
        <v>0.215317</v>
      </c>
      <c r="AX175" s="13">
        <v>0.065067</v>
      </c>
      <c r="AY175" s="13">
        <v>0.8095</v>
      </c>
      <c r="AZ175" s="13">
        <v>4.0906</v>
      </c>
      <c r="BA175" s="13">
        <v>-0.0949897506160889</v>
      </c>
      <c r="BB175" s="13">
        <v>0.501990912727367</v>
      </c>
      <c r="BC175" s="13">
        <v>0.111786</v>
      </c>
    </row>
    <row r="176" spans="1:55">
      <c r="A176" s="8" t="s">
        <v>592</v>
      </c>
      <c r="B176" s="8" t="s">
        <v>593</v>
      </c>
      <c r="C176" s="8" t="s">
        <v>77</v>
      </c>
      <c r="D176" s="9">
        <v>37148</v>
      </c>
      <c r="E176" s="8" t="s">
        <v>508</v>
      </c>
      <c r="F176" s="8" t="s">
        <v>307</v>
      </c>
      <c r="G176" s="10">
        <v>517828360037.58</v>
      </c>
      <c r="H176" s="10">
        <v>0</v>
      </c>
      <c r="I176" s="9">
        <v>7899974544</v>
      </c>
      <c r="J176" s="9">
        <v>17835619082</v>
      </c>
      <c r="K176" s="11">
        <v>100</v>
      </c>
      <c r="L176" s="12">
        <v>35507</v>
      </c>
      <c r="M176" s="12">
        <v>33969</v>
      </c>
      <c r="N176" s="9">
        <f t="shared" si="14"/>
        <v>1538</v>
      </c>
      <c r="O176" s="13">
        <v>50.68</v>
      </c>
      <c r="P176" s="13">
        <v>5.03</v>
      </c>
      <c r="Q176" s="13">
        <v>1.68</v>
      </c>
      <c r="R176" s="8" t="s">
        <v>594</v>
      </c>
      <c r="S176" s="13">
        <v>330112</v>
      </c>
      <c r="T176" s="13">
        <v>0.11</v>
      </c>
      <c r="U176" s="13">
        <v>5.0864</v>
      </c>
      <c r="V176" s="13">
        <f t="shared" si="15"/>
        <v>0.0216262975778547</v>
      </c>
      <c r="W176" s="13">
        <v>0.551</v>
      </c>
      <c r="X176" s="13">
        <f t="shared" si="16"/>
        <v>0.199637023593466</v>
      </c>
      <c r="Y176" s="13">
        <v>0.187621</v>
      </c>
      <c r="Z176" s="13">
        <v>0.092883</v>
      </c>
      <c r="AA176" s="13">
        <v>0.3765</v>
      </c>
      <c r="AB176" s="13">
        <v>9.0827</v>
      </c>
      <c r="AC176" s="13">
        <v>0.3105</v>
      </c>
      <c r="AD176" s="13">
        <v>0.1335</v>
      </c>
      <c r="AE176" s="13">
        <v>-0.010038</v>
      </c>
      <c r="AF176" s="13">
        <v>0.1</v>
      </c>
      <c r="AG176" s="13">
        <v>3.76319906666197</v>
      </c>
      <c r="AH176" s="13">
        <f t="shared" si="17"/>
        <v>0.0265731358422933</v>
      </c>
      <c r="AI176" s="13">
        <v>0.154</v>
      </c>
      <c r="AJ176" s="13">
        <f t="shared" si="18"/>
        <v>0.649350649350649</v>
      </c>
      <c r="AK176" s="13">
        <v>0.062174</v>
      </c>
      <c r="AL176" s="13">
        <v>0.035636</v>
      </c>
      <c r="AM176" s="13">
        <v>0.4753</v>
      </c>
      <c r="AN176" s="13">
        <v>8.9229</v>
      </c>
      <c r="AO176" s="13">
        <v>0.204731253510096</v>
      </c>
      <c r="AP176" s="13">
        <v>0.178056838990571</v>
      </c>
      <c r="AQ176" s="13">
        <v>0.143954</v>
      </c>
      <c r="AR176" s="13">
        <v>0.07</v>
      </c>
      <c r="AS176" s="13">
        <v>3.8954742215905</v>
      </c>
      <c r="AT176" s="13">
        <f t="shared" si="19"/>
        <v>0.0179695708450663</v>
      </c>
      <c r="AU176" s="13">
        <v>0.314</v>
      </c>
      <c r="AV176" s="13">
        <f t="shared" si="20"/>
        <v>0.222929936305733</v>
      </c>
      <c r="AW176" s="13">
        <v>0.119557</v>
      </c>
      <c r="AX176" s="13">
        <v>0.066145</v>
      </c>
      <c r="AY176" s="13">
        <v>0.4157</v>
      </c>
      <c r="AZ176" s="13">
        <v>9.2808</v>
      </c>
      <c r="BA176" s="13">
        <v>0.23527106433971</v>
      </c>
      <c r="BB176" s="13">
        <v>0.143840285655714</v>
      </c>
      <c r="BC176" s="13">
        <v>-0.070247</v>
      </c>
    </row>
    <row r="177" spans="1:55">
      <c r="A177" s="8" t="s">
        <v>595</v>
      </c>
      <c r="B177" s="8" t="s">
        <v>596</v>
      </c>
      <c r="C177" s="8" t="s">
        <v>82</v>
      </c>
      <c r="D177" s="9">
        <v>39365</v>
      </c>
      <c r="E177" s="8" t="s">
        <v>206</v>
      </c>
      <c r="F177" s="8" t="s">
        <v>307</v>
      </c>
      <c r="G177" s="10">
        <v>136642970000</v>
      </c>
      <c r="H177" s="10">
        <v>4</v>
      </c>
      <c r="I177" s="9">
        <v>829996132</v>
      </c>
      <c r="J177" s="9">
        <v>3097087607</v>
      </c>
      <c r="K177" s="11">
        <v>99.1749</v>
      </c>
      <c r="L177" s="12">
        <v>34337</v>
      </c>
      <c r="M177" s="12">
        <v>33967</v>
      </c>
      <c r="N177" s="9">
        <f t="shared" si="14"/>
        <v>370</v>
      </c>
      <c r="O177" s="13">
        <v>44.26</v>
      </c>
      <c r="P177" s="13">
        <v>12.1</v>
      </c>
      <c r="Q177" s="13">
        <v>9.97</v>
      </c>
      <c r="R177" s="8" t="s">
        <v>597</v>
      </c>
      <c r="S177" s="13">
        <v>26193</v>
      </c>
      <c r="T177" s="13">
        <v>1.03</v>
      </c>
      <c r="U177" s="13">
        <v>19.0452</v>
      </c>
      <c r="V177" s="13">
        <f t="shared" si="15"/>
        <v>0.0540818683972865</v>
      </c>
      <c r="W177" s="13">
        <v>1.46</v>
      </c>
      <c r="X177" s="13">
        <f t="shared" si="16"/>
        <v>0.705479452054795</v>
      </c>
      <c r="Y177" s="13">
        <v>0.190704</v>
      </c>
      <c r="Z177" s="13">
        <v>0.073165</v>
      </c>
      <c r="AA177" s="13">
        <v>1.0178</v>
      </c>
      <c r="AB177" s="13">
        <v>5.6674</v>
      </c>
      <c r="AC177" s="13">
        <v>0.1043</v>
      </c>
      <c r="AD177" s="13">
        <v>0.3163</v>
      </c>
      <c r="AE177" s="13">
        <v>-0.055142</v>
      </c>
      <c r="AF177" s="13">
        <v>0.51</v>
      </c>
      <c r="AG177" s="13">
        <v>17.9241283414875</v>
      </c>
      <c r="AH177" s="13">
        <f t="shared" si="17"/>
        <v>0.0284532664731899</v>
      </c>
      <c r="AI177" s="13">
        <v>1.9</v>
      </c>
      <c r="AJ177" s="13">
        <f t="shared" si="18"/>
        <v>0.268421052631579</v>
      </c>
      <c r="AK177" s="13">
        <v>0.360609</v>
      </c>
      <c r="AL177" s="13">
        <v>0.071831</v>
      </c>
      <c r="AM177" s="13">
        <v>1.1674</v>
      </c>
      <c r="AN177" s="13">
        <v>8.1494</v>
      </c>
      <c r="AO177" s="13">
        <v>0.0973334359913656</v>
      </c>
      <c r="AP177" s="13">
        <v>0.19702367425371</v>
      </c>
      <c r="AQ177" s="13">
        <v>0.330188</v>
      </c>
      <c r="AR177" s="13">
        <v>0.91</v>
      </c>
      <c r="AS177" s="13">
        <v>18.2635206660633</v>
      </c>
      <c r="AT177" s="13">
        <f t="shared" si="19"/>
        <v>0.0498260996134734</v>
      </c>
      <c r="AU177" s="13">
        <v>2.3</v>
      </c>
      <c r="AV177" s="13">
        <f t="shared" si="20"/>
        <v>0.395652173913044</v>
      </c>
      <c r="AW177" s="13">
        <v>0.343954</v>
      </c>
      <c r="AX177" s="13">
        <v>0.08711</v>
      </c>
      <c r="AY177" s="13">
        <v>1.0625</v>
      </c>
      <c r="AZ177" s="13">
        <v>6.5669</v>
      </c>
      <c r="BA177" s="13">
        <v>0.0956567725616489</v>
      </c>
      <c r="BB177" s="13">
        <v>0.376674831232451</v>
      </c>
      <c r="BC177" s="13">
        <v>-0.066985</v>
      </c>
    </row>
    <row r="178" spans="1:55">
      <c r="A178" s="8" t="s">
        <v>598</v>
      </c>
      <c r="B178" s="8" t="s">
        <v>599</v>
      </c>
      <c r="C178" s="8" t="s">
        <v>89</v>
      </c>
      <c r="D178" s="9">
        <v>13931</v>
      </c>
      <c r="E178" s="8" t="s">
        <v>177</v>
      </c>
      <c r="F178" s="8" t="s">
        <v>67</v>
      </c>
      <c r="G178" s="10">
        <v>54550849056.82</v>
      </c>
      <c r="H178" s="10">
        <v>0</v>
      </c>
      <c r="I178" s="9">
        <v>408709501</v>
      </c>
      <c r="J178" s="9">
        <v>1219964222</v>
      </c>
      <c r="K178" s="11">
        <v>100</v>
      </c>
      <c r="L178" s="12">
        <v>34340</v>
      </c>
      <c r="M178" s="12">
        <v>31406</v>
      </c>
      <c r="N178" s="9">
        <f t="shared" si="14"/>
        <v>2934</v>
      </c>
      <c r="O178" s="13">
        <v>56.65</v>
      </c>
      <c r="P178" s="13">
        <v>9.1735</v>
      </c>
      <c r="Q178" s="13"/>
      <c r="R178" s="8"/>
      <c r="S178" s="13">
        <v>79985</v>
      </c>
      <c r="T178" s="13">
        <v>3.6</v>
      </c>
      <c r="U178" s="13">
        <v>207.9412</v>
      </c>
      <c r="V178" s="13">
        <f t="shared" si="15"/>
        <v>0.0173125864427059</v>
      </c>
      <c r="W178" s="13">
        <v>10.0354</v>
      </c>
      <c r="X178" s="13">
        <f t="shared" si="16"/>
        <v>0.358730095462064</v>
      </c>
      <c r="Y178" s="13">
        <v>0.391204</v>
      </c>
      <c r="Z178" s="13">
        <v>0.34026</v>
      </c>
      <c r="AA178" s="13">
        <v>0.738</v>
      </c>
      <c r="AB178" s="13">
        <v>1.5592</v>
      </c>
      <c r="AC178" s="13">
        <v>0.338</v>
      </c>
      <c r="AD178" s="13">
        <v>0.3499</v>
      </c>
      <c r="AE178" s="13">
        <v>0.127864</v>
      </c>
      <c r="AF178" s="13">
        <v>3.32</v>
      </c>
      <c r="AG178" s="13">
        <v>274.634107586687</v>
      </c>
      <c r="AH178" s="13">
        <f t="shared" si="17"/>
        <v>0.012088811652617</v>
      </c>
      <c r="AI178" s="13">
        <v>6.6492</v>
      </c>
      <c r="AJ178" s="13">
        <f t="shared" si="18"/>
        <v>0.499308187451122</v>
      </c>
      <c r="AK178" s="13">
        <v>0.443079</v>
      </c>
      <c r="AL178" s="13">
        <v>0.31117</v>
      </c>
      <c r="AM178" s="13">
        <v>0.7867</v>
      </c>
      <c r="AN178" s="13">
        <v>1.8236</v>
      </c>
      <c r="AO178" s="13">
        <v>0.3933111603909</v>
      </c>
      <c r="AP178" s="13">
        <v>0.825811011558734</v>
      </c>
      <c r="AQ178" s="13">
        <v>0.312597</v>
      </c>
      <c r="AR178" s="13">
        <v>4.37</v>
      </c>
      <c r="AS178" s="13">
        <v>240.865085526613</v>
      </c>
      <c r="AT178" s="13">
        <f t="shared" si="19"/>
        <v>0.01814293670021</v>
      </c>
      <c r="AU178" s="13">
        <v>8.5627</v>
      </c>
      <c r="AV178" s="13">
        <f t="shared" si="20"/>
        <v>0.510353042848634</v>
      </c>
      <c r="AW178" s="13">
        <v>0.424678</v>
      </c>
      <c r="AX178" s="13">
        <v>0.327561</v>
      </c>
      <c r="AY178" s="13">
        <v>0.7905</v>
      </c>
      <c r="AZ178" s="13">
        <v>1.6433</v>
      </c>
      <c r="BA178" s="13">
        <v>0.226289593782637</v>
      </c>
      <c r="BB178" s="13">
        <v>0.252529687021774</v>
      </c>
      <c r="BC178" s="13">
        <v>0.218</v>
      </c>
    </row>
    <row r="179" spans="1:55">
      <c r="A179" s="8" t="s">
        <v>600</v>
      </c>
      <c r="B179" s="8" t="s">
        <v>601</v>
      </c>
      <c r="C179" s="8" t="s">
        <v>77</v>
      </c>
      <c r="D179" s="9">
        <v>5988</v>
      </c>
      <c r="E179" s="8" t="s">
        <v>198</v>
      </c>
      <c r="F179" s="8" t="s">
        <v>222</v>
      </c>
      <c r="G179" s="10">
        <v>23037646640.45</v>
      </c>
      <c r="H179" s="10">
        <v>0</v>
      </c>
      <c r="I179" s="9">
        <v>696786847</v>
      </c>
      <c r="J179" s="9">
        <v>2870778802</v>
      </c>
      <c r="K179" s="11">
        <v>74.3262</v>
      </c>
      <c r="L179" s="12">
        <v>34404</v>
      </c>
      <c r="M179" s="12">
        <v>34561</v>
      </c>
      <c r="N179" s="9">
        <f t="shared" si="14"/>
        <v>-157</v>
      </c>
      <c r="O179" s="13">
        <v>49.12</v>
      </c>
      <c r="P179" s="13">
        <v>1.22</v>
      </c>
      <c r="Q179" s="13">
        <v>0.93</v>
      </c>
      <c r="R179" s="8" t="s">
        <v>602</v>
      </c>
      <c r="S179" s="13">
        <v>137489</v>
      </c>
      <c r="T179" s="13">
        <v>0.6</v>
      </c>
      <c r="U179" s="13">
        <v>32.8689</v>
      </c>
      <c r="V179" s="13">
        <f t="shared" si="15"/>
        <v>0.0182543376869929</v>
      </c>
      <c r="W179" s="13">
        <v>0.797</v>
      </c>
      <c r="X179" s="13">
        <f t="shared" si="16"/>
        <v>0.752823086574655</v>
      </c>
      <c r="Y179" s="13">
        <v>0.199552</v>
      </c>
      <c r="Z179" s="13">
        <v>0.17053</v>
      </c>
      <c r="AA179" s="13">
        <v>0.6271</v>
      </c>
      <c r="AB179" s="13">
        <v>1.9167</v>
      </c>
      <c r="AC179" s="13">
        <v>0.1225</v>
      </c>
      <c r="AD179" s="13">
        <v>0.587</v>
      </c>
      <c r="AE179" s="13">
        <v>0.056426</v>
      </c>
      <c r="AF179" s="13">
        <v>0.8</v>
      </c>
      <c r="AG179" s="13">
        <v>46.8820996311068</v>
      </c>
      <c r="AH179" s="13">
        <f t="shared" si="17"/>
        <v>0.0170640821613115</v>
      </c>
      <c r="AI179" s="13">
        <v>1.12</v>
      </c>
      <c r="AJ179" s="13">
        <f t="shared" si="18"/>
        <v>0.714285714285714</v>
      </c>
      <c r="AK179" s="13">
        <v>0.230578</v>
      </c>
      <c r="AL179" s="13">
        <v>0.171203</v>
      </c>
      <c r="AM179" s="13">
        <v>0.7024</v>
      </c>
      <c r="AN179" s="13">
        <v>1.9747</v>
      </c>
      <c r="AO179" s="13">
        <v>0.191756233365099</v>
      </c>
      <c r="AP179" s="13">
        <v>0.669544475435398</v>
      </c>
      <c r="AQ179" s="13">
        <v>0.118248</v>
      </c>
      <c r="AR179" s="13">
        <v>1</v>
      </c>
      <c r="AS179" s="13">
        <v>49.7475071626437</v>
      </c>
      <c r="AT179" s="13">
        <f t="shared" si="19"/>
        <v>0.0201015097446112</v>
      </c>
      <c r="AU179" s="13">
        <v>1.083</v>
      </c>
      <c r="AV179" s="13">
        <f t="shared" si="20"/>
        <v>0.923361034164358</v>
      </c>
      <c r="AW179" s="13">
        <v>0.240342</v>
      </c>
      <c r="AX179" s="13">
        <v>0.202172</v>
      </c>
      <c r="AY179" s="13">
        <v>0.623</v>
      </c>
      <c r="AZ179" s="13">
        <v>1.9512</v>
      </c>
      <c r="BA179" s="13">
        <v>0.201961618747758</v>
      </c>
      <c r="BB179" s="13">
        <v>0.691690367719717</v>
      </c>
      <c r="BC179" s="13">
        <v>-0.017813</v>
      </c>
    </row>
    <row r="180" spans="1:55">
      <c r="A180" s="8" t="s">
        <v>603</v>
      </c>
      <c r="B180" s="8" t="s">
        <v>604</v>
      </c>
      <c r="C180" s="8" t="s">
        <v>77</v>
      </c>
      <c r="D180" s="9">
        <v>18033</v>
      </c>
      <c r="E180" s="8" t="s">
        <v>104</v>
      </c>
      <c r="F180" s="8" t="s">
        <v>67</v>
      </c>
      <c r="G180" s="10">
        <v>164561031620.58</v>
      </c>
      <c r="H180" s="10">
        <v>0</v>
      </c>
      <c r="I180" s="9">
        <v>1244303464</v>
      </c>
      <c r="J180" s="9">
        <v>3458360326</v>
      </c>
      <c r="K180" s="11">
        <v>65.4462</v>
      </c>
      <c r="L180" s="12">
        <v>34982</v>
      </c>
      <c r="M180" s="12">
        <v>34331</v>
      </c>
      <c r="N180" s="9">
        <f t="shared" si="14"/>
        <v>651</v>
      </c>
      <c r="O180" s="13">
        <v>51.27</v>
      </c>
      <c r="P180" s="13">
        <v>11.74</v>
      </c>
      <c r="Q180" s="13">
        <v>3.72</v>
      </c>
      <c r="R180" s="8" t="s">
        <v>605</v>
      </c>
      <c r="S180" s="13">
        <v>146864</v>
      </c>
      <c r="T180" s="13">
        <v>0.403</v>
      </c>
      <c r="U180" s="13">
        <v>15.8973</v>
      </c>
      <c r="V180" s="13">
        <f t="shared" si="15"/>
        <v>0.0253502167034654</v>
      </c>
      <c r="W180" s="13">
        <v>0.94</v>
      </c>
      <c r="X180" s="13">
        <f t="shared" si="16"/>
        <v>0.428723404255319</v>
      </c>
      <c r="Y180" s="13">
        <v>0.076856</v>
      </c>
      <c r="Z180" s="13">
        <v>0.04717</v>
      </c>
      <c r="AA180" s="13">
        <v>0.5298</v>
      </c>
      <c r="AB180" s="13">
        <v>3.4602</v>
      </c>
      <c r="AC180" s="13">
        <v>0.1467</v>
      </c>
      <c r="AD180" s="13">
        <v>0.3349</v>
      </c>
      <c r="AE180" s="13">
        <v>0.148633</v>
      </c>
      <c r="AF180" s="13">
        <v>0.335</v>
      </c>
      <c r="AG180" s="13">
        <v>17.9445515684092</v>
      </c>
      <c r="AH180" s="13">
        <f t="shared" si="17"/>
        <v>0.018668619203043</v>
      </c>
      <c r="AI180" s="13">
        <v>0.92</v>
      </c>
      <c r="AJ180" s="13">
        <f t="shared" si="18"/>
        <v>0.364130434782609</v>
      </c>
      <c r="AK180" s="13">
        <v>0.084608</v>
      </c>
      <c r="AL180" s="13">
        <v>0.054385</v>
      </c>
      <c r="AM180" s="13">
        <v>0.507</v>
      </c>
      <c r="AN180" s="13">
        <v>3.2361</v>
      </c>
      <c r="AO180" s="13">
        <v>0.151935669750738</v>
      </c>
      <c r="AP180" s="13">
        <v>0.257038039360151</v>
      </c>
      <c r="AQ180" s="13">
        <v>0.157551</v>
      </c>
      <c r="AR180" s="13">
        <v>0.475</v>
      </c>
      <c r="AS180" s="13">
        <v>18.36205931974</v>
      </c>
      <c r="AT180" s="13">
        <f t="shared" si="19"/>
        <v>0.0258685581899496</v>
      </c>
      <c r="AU180" s="13">
        <v>1.14</v>
      </c>
      <c r="AV180" s="13">
        <f t="shared" si="20"/>
        <v>0.416666666666667</v>
      </c>
      <c r="AW180" s="13">
        <v>0.098313</v>
      </c>
      <c r="AX180" s="13">
        <v>0.060051</v>
      </c>
      <c r="AY180" s="13">
        <v>0.5134</v>
      </c>
      <c r="AZ180" s="13">
        <v>3.2727</v>
      </c>
      <c r="BA180" s="13">
        <v>-0.0576148869711115</v>
      </c>
      <c r="BB180" s="13">
        <v>0.268762038676929</v>
      </c>
      <c r="BC180" s="13">
        <v>0.095962</v>
      </c>
    </row>
    <row r="181" spans="1:55">
      <c r="A181" s="8" t="s">
        <v>606</v>
      </c>
      <c r="B181" s="8" t="s">
        <v>607</v>
      </c>
      <c r="C181" s="8" t="s">
        <v>77</v>
      </c>
      <c r="D181" s="9">
        <v>10740</v>
      </c>
      <c r="E181" s="8" t="s">
        <v>132</v>
      </c>
      <c r="F181" s="8" t="s">
        <v>307</v>
      </c>
      <c r="G181" s="10">
        <v>314011256810.76</v>
      </c>
      <c r="H181" s="10">
        <v>0</v>
      </c>
      <c r="I181" s="9">
        <v>2325322636</v>
      </c>
      <c r="J181" s="9">
        <v>8004494262</v>
      </c>
      <c r="K181" s="11">
        <v>93.1249</v>
      </c>
      <c r="L181" s="12">
        <v>35082</v>
      </c>
      <c r="M181" s="12">
        <v>35234</v>
      </c>
      <c r="N181" s="9">
        <f t="shared" si="14"/>
        <v>-152</v>
      </c>
      <c r="O181" s="13">
        <v>47.79</v>
      </c>
      <c r="P181" s="13">
        <v>13.05</v>
      </c>
      <c r="Q181" s="13">
        <v>6.88</v>
      </c>
      <c r="R181" s="8" t="s">
        <v>608</v>
      </c>
      <c r="S181" s="13">
        <v>114631</v>
      </c>
      <c r="T181" s="13">
        <v>0.4565</v>
      </c>
      <c r="U181" s="13">
        <v>15.9537</v>
      </c>
      <c r="V181" s="13">
        <f t="shared" si="15"/>
        <v>0.0286140519127224</v>
      </c>
      <c r="W181" s="13">
        <v>0.8669</v>
      </c>
      <c r="X181" s="13">
        <f t="shared" si="16"/>
        <v>0.526588995270504</v>
      </c>
      <c r="Y181" s="13">
        <v>0.109754</v>
      </c>
      <c r="Z181" s="13">
        <v>0.207972</v>
      </c>
      <c r="AA181" s="13">
        <v>0.2015</v>
      </c>
      <c r="AB181" s="13">
        <v>4.7409</v>
      </c>
      <c r="AC181" s="13">
        <v>0.4265</v>
      </c>
      <c r="AD181" s="13">
        <v>0.1825</v>
      </c>
      <c r="AE181" s="13">
        <v>0.019527</v>
      </c>
      <c r="AF181" s="13">
        <v>0.275</v>
      </c>
      <c r="AG181" s="13">
        <v>10.4048564499273</v>
      </c>
      <c r="AH181" s="13">
        <f t="shared" si="17"/>
        <v>0.0264299657879395</v>
      </c>
      <c r="AI181" s="13">
        <v>0.5213</v>
      </c>
      <c r="AJ181" s="13">
        <f t="shared" si="18"/>
        <v>0.527527335507385</v>
      </c>
      <c r="AK181" s="13">
        <v>0.076989</v>
      </c>
      <c r="AL181" s="13">
        <v>0.15211</v>
      </c>
      <c r="AM181" s="13">
        <v>0.2021</v>
      </c>
      <c r="AN181" s="13">
        <v>4.7146</v>
      </c>
      <c r="AO181" s="13">
        <v>0.435013481575841</v>
      </c>
      <c r="AP181" s="13">
        <v>0.263928382460852</v>
      </c>
      <c r="AQ181" s="13">
        <v>0.153611</v>
      </c>
      <c r="AR181" s="13">
        <v>0.4948</v>
      </c>
      <c r="AS181" s="13">
        <v>12.1715330318378</v>
      </c>
      <c r="AT181" s="13">
        <f t="shared" si="19"/>
        <v>0.0406522332647599</v>
      </c>
      <c r="AU181" s="13">
        <v>0.8754</v>
      </c>
      <c r="AV181" s="13">
        <f t="shared" si="20"/>
        <v>0.565227324651588</v>
      </c>
      <c r="AW181" s="13">
        <v>0.118062</v>
      </c>
      <c r="AX181" s="13">
        <v>0.214422</v>
      </c>
      <c r="AY181" s="13">
        <v>0.2118</v>
      </c>
      <c r="AZ181" s="13">
        <v>4.7156</v>
      </c>
      <c r="BA181" s="13">
        <v>0.375020704027255</v>
      </c>
      <c r="BB181" s="13">
        <v>0.251109137438474</v>
      </c>
      <c r="BC181" s="13">
        <v>0.123246</v>
      </c>
    </row>
    <row r="182" spans="1:55">
      <c r="A182" s="8" t="s">
        <v>609</v>
      </c>
      <c r="B182" s="8" t="s">
        <v>610</v>
      </c>
      <c r="C182" s="8" t="s">
        <v>57</v>
      </c>
      <c r="D182" s="9">
        <v>63414</v>
      </c>
      <c r="E182" s="8" t="s">
        <v>170</v>
      </c>
      <c r="F182" s="8" t="s">
        <v>67</v>
      </c>
      <c r="G182" s="10">
        <v>152726359994.44</v>
      </c>
      <c r="H182" s="10">
        <v>0</v>
      </c>
      <c r="I182" s="9">
        <v>5755393895</v>
      </c>
      <c r="J182" s="9">
        <v>6325360667</v>
      </c>
      <c r="K182" s="11">
        <v>99.5031</v>
      </c>
      <c r="L182" s="12">
        <v>35136</v>
      </c>
      <c r="M182" s="12">
        <v>34124</v>
      </c>
      <c r="N182" s="9">
        <f t="shared" si="14"/>
        <v>1012</v>
      </c>
      <c r="O182" s="13">
        <v>8.51</v>
      </c>
      <c r="P182" s="13">
        <v>8.16</v>
      </c>
      <c r="Q182" s="13">
        <v>4.53</v>
      </c>
      <c r="R182" s="8" t="s">
        <v>611</v>
      </c>
      <c r="S182" s="13">
        <v>426769</v>
      </c>
      <c r="T182" s="13">
        <v>1.22</v>
      </c>
      <c r="U182" s="13">
        <v>27.0921</v>
      </c>
      <c r="V182" s="13">
        <f t="shared" si="15"/>
        <v>0.0450315774709233</v>
      </c>
      <c r="W182" s="13">
        <v>1.33</v>
      </c>
      <c r="X182" s="13">
        <f t="shared" si="16"/>
        <v>0.917293233082707</v>
      </c>
      <c r="Y182" s="13">
        <v>0.158413</v>
      </c>
      <c r="Z182" s="13">
        <v>0.073102</v>
      </c>
      <c r="AA182" s="13">
        <v>0.7584</v>
      </c>
      <c r="AB182" s="13">
        <v>2.8611</v>
      </c>
      <c r="AC182" s="13">
        <v>0.1884</v>
      </c>
      <c r="AD182" s="13">
        <v>0.2854</v>
      </c>
      <c r="AE182" s="13">
        <v>-0.082422</v>
      </c>
      <c r="AF182" s="13">
        <v>1.04</v>
      </c>
      <c r="AG182" s="13">
        <v>35.1222868396885</v>
      </c>
      <c r="AH182" s="13">
        <f t="shared" si="17"/>
        <v>0.0296108281544125</v>
      </c>
      <c r="AI182" s="13">
        <v>1.48</v>
      </c>
      <c r="AJ182" s="13">
        <f t="shared" si="18"/>
        <v>0.702702702702703</v>
      </c>
      <c r="AK182" s="13">
        <v>0.192517</v>
      </c>
      <c r="AL182" s="13">
        <v>0.075653</v>
      </c>
      <c r="AM182" s="13">
        <v>1.0576</v>
      </c>
      <c r="AN182" s="13">
        <v>2.3774</v>
      </c>
      <c r="AO182" s="13">
        <v>0.108956781873417</v>
      </c>
      <c r="AP182" s="13">
        <v>0.547620515872127</v>
      </c>
      <c r="AQ182" s="13">
        <v>0.113711</v>
      </c>
      <c r="AR182" s="13">
        <v>1.2</v>
      </c>
      <c r="AS182" s="13">
        <v>28.5526391307901</v>
      </c>
      <c r="AT182" s="13">
        <f t="shared" si="19"/>
        <v>0.0420276386537581</v>
      </c>
      <c r="AU182" s="13">
        <v>1.64</v>
      </c>
      <c r="AV182" s="13">
        <f t="shared" si="20"/>
        <v>0.731707317073171</v>
      </c>
      <c r="AW182" s="13">
        <v>0.200921</v>
      </c>
      <c r="AX182" s="13">
        <v>0.081505</v>
      </c>
      <c r="AY182" s="13">
        <v>0.893</v>
      </c>
      <c r="AZ182" s="13">
        <v>2.7222</v>
      </c>
      <c r="BA182" s="13">
        <v>0.144955112780595</v>
      </c>
      <c r="BB182" s="13">
        <v>0.567311370441901</v>
      </c>
      <c r="BC182" s="13">
        <v>0.024425</v>
      </c>
    </row>
    <row r="183" spans="1:55">
      <c r="A183" s="8" t="s">
        <v>612</v>
      </c>
      <c r="B183" s="8" t="s">
        <v>613</v>
      </c>
      <c r="C183" s="8" t="s">
        <v>77</v>
      </c>
      <c r="D183" s="9">
        <v>30743</v>
      </c>
      <c r="E183" s="8" t="s">
        <v>136</v>
      </c>
      <c r="F183" s="8" t="s">
        <v>67</v>
      </c>
      <c r="G183" s="10">
        <v>127356803514.34</v>
      </c>
      <c r="H183" s="10">
        <v>3</v>
      </c>
      <c r="I183" s="9">
        <v>1307450597</v>
      </c>
      <c r="J183" s="9">
        <v>2665594238</v>
      </c>
      <c r="K183" s="11">
        <v>99.9824</v>
      </c>
      <c r="L183" s="12">
        <v>35163</v>
      </c>
      <c r="M183" s="12">
        <v>34326</v>
      </c>
      <c r="N183" s="9">
        <f t="shared" si="14"/>
        <v>837</v>
      </c>
      <c r="O183" s="13">
        <v>45.79</v>
      </c>
      <c r="P183" s="13">
        <v>3.68</v>
      </c>
      <c r="Q183" s="13">
        <v>1.46</v>
      </c>
      <c r="R183" s="8" t="s">
        <v>614</v>
      </c>
      <c r="S183" s="13">
        <v>130791</v>
      </c>
      <c r="T183" s="13">
        <v>0.097</v>
      </c>
      <c r="U183" s="13">
        <v>38.7302</v>
      </c>
      <c r="V183" s="13">
        <f t="shared" si="15"/>
        <v>0.00250450552798591</v>
      </c>
      <c r="W183" s="13">
        <v>0.32</v>
      </c>
      <c r="X183" s="13">
        <f t="shared" si="16"/>
        <v>0.303125</v>
      </c>
      <c r="Y183" s="13">
        <v>0.021689</v>
      </c>
      <c r="Z183" s="13">
        <v>0.020537</v>
      </c>
      <c r="AA183" s="13">
        <v>0.4439</v>
      </c>
      <c r="AB183" s="13">
        <v>2.7191</v>
      </c>
      <c r="AC183" s="13">
        <v>-0.2989</v>
      </c>
      <c r="AD183" s="13">
        <v>0.1787</v>
      </c>
      <c r="AE183" s="13">
        <v>0.094796</v>
      </c>
      <c r="AF183" s="13">
        <v>0.145</v>
      </c>
      <c r="AG183" s="13">
        <v>46.300116333432</v>
      </c>
      <c r="AH183" s="13">
        <f t="shared" si="17"/>
        <v>0.00313174159122576</v>
      </c>
      <c r="AI183" s="13">
        <v>0.48</v>
      </c>
      <c r="AJ183" s="13">
        <f t="shared" si="18"/>
        <v>0.302083333333333</v>
      </c>
      <c r="AK183" s="13">
        <v>0.033426</v>
      </c>
      <c r="AL183" s="13">
        <v>0.036444</v>
      </c>
      <c r="AM183" s="13">
        <v>0.4108</v>
      </c>
      <c r="AN183" s="13">
        <v>2.381</v>
      </c>
      <c r="AO183" s="13">
        <v>-0.303025640485154</v>
      </c>
      <c r="AP183" s="13">
        <v>0.294015905755372</v>
      </c>
      <c r="AQ183" s="13">
        <v>0.087823</v>
      </c>
      <c r="AR183" s="13">
        <v>0.16</v>
      </c>
      <c r="AS183" s="13">
        <v>41.3408279610485</v>
      </c>
      <c r="AT183" s="13">
        <f t="shared" si="19"/>
        <v>0.00387026597896764</v>
      </c>
      <c r="AU183" s="13">
        <v>0.53</v>
      </c>
      <c r="AV183" s="13">
        <f t="shared" si="20"/>
        <v>0.30188679245283</v>
      </c>
      <c r="AW183" s="13">
        <v>0.036513</v>
      </c>
      <c r="AX183" s="13">
        <v>0.034733</v>
      </c>
      <c r="AY183" s="13">
        <v>0.4609</v>
      </c>
      <c r="AZ183" s="13">
        <v>2.4373</v>
      </c>
      <c r="BA183" s="13">
        <v>-0.154094240498631</v>
      </c>
      <c r="BB183" s="13">
        <v>0.233842570933636</v>
      </c>
      <c r="BC183" s="13">
        <v>0.178901</v>
      </c>
    </row>
    <row r="184" spans="1:55">
      <c r="A184" s="8" t="s">
        <v>615</v>
      </c>
      <c r="B184" s="8" t="s">
        <v>616</v>
      </c>
      <c r="C184" s="8" t="s">
        <v>77</v>
      </c>
      <c r="D184" s="9">
        <v>7937</v>
      </c>
      <c r="E184" s="8" t="s">
        <v>132</v>
      </c>
      <c r="F184" s="8" t="s">
        <v>307</v>
      </c>
      <c r="G184" s="10">
        <v>568769002805.71</v>
      </c>
      <c r="H184" s="10">
        <v>0</v>
      </c>
      <c r="I184" s="9">
        <v>11576877081</v>
      </c>
      <c r="J184" s="9">
        <v>24468217716</v>
      </c>
      <c r="K184" s="11">
        <v>98.1161</v>
      </c>
      <c r="L184" s="12">
        <v>37943</v>
      </c>
      <c r="M184" s="12">
        <v>37564</v>
      </c>
      <c r="N184" s="9">
        <f t="shared" si="14"/>
        <v>379</v>
      </c>
      <c r="O184" s="13">
        <v>43.2307</v>
      </c>
      <c r="P184" s="13"/>
      <c r="Q184" s="13"/>
      <c r="R184" s="8"/>
      <c r="S184" s="13">
        <v>601559</v>
      </c>
      <c r="T184" s="13">
        <v>0.733</v>
      </c>
      <c r="U184" s="13">
        <v>27.4137</v>
      </c>
      <c r="V184" s="13">
        <f t="shared" si="15"/>
        <v>0.0267384555897234</v>
      </c>
      <c r="W184" s="13">
        <v>1.3281</v>
      </c>
      <c r="X184" s="13">
        <f t="shared" si="16"/>
        <v>0.551916271365108</v>
      </c>
      <c r="Y184" s="13">
        <v>0.157895</v>
      </c>
      <c r="Z184" s="13">
        <v>0.389744</v>
      </c>
      <c r="AA184" s="13">
        <v>0.1485</v>
      </c>
      <c r="AB184" s="13">
        <v>2.7647</v>
      </c>
      <c r="AC184" s="13">
        <v>0.706</v>
      </c>
      <c r="AD184" s="13">
        <v>0.0411</v>
      </c>
      <c r="AE184" s="13">
        <v>0.081239</v>
      </c>
      <c r="AF184" s="13">
        <v>0.8533</v>
      </c>
      <c r="AG184" s="13">
        <v>22.6375010339318</v>
      </c>
      <c r="AH184" s="13">
        <f t="shared" si="17"/>
        <v>0.0376940899404476</v>
      </c>
      <c r="AI184" s="13">
        <v>0.937</v>
      </c>
      <c r="AJ184" s="13">
        <f t="shared" si="18"/>
        <v>0.910672358591249</v>
      </c>
      <c r="AK184" s="13">
        <v>0.116267</v>
      </c>
      <c r="AL184" s="13">
        <v>0.415849</v>
      </c>
      <c r="AM184" s="13">
        <v>0.1588</v>
      </c>
      <c r="AN184" s="13">
        <v>1.7892</v>
      </c>
      <c r="AO184" s="13">
        <v>0.59378497300269</v>
      </c>
      <c r="AP184" s="13">
        <v>0.177330444308634</v>
      </c>
      <c r="AQ184" s="13">
        <v>-0.064439</v>
      </c>
      <c r="AR184" s="13">
        <v>0.82</v>
      </c>
      <c r="AS184" s="13">
        <v>21.9193545210568</v>
      </c>
      <c r="AT184" s="13">
        <f t="shared" si="19"/>
        <v>0.0374098607334567</v>
      </c>
      <c r="AU184" s="13">
        <v>1.1132</v>
      </c>
      <c r="AV184" s="13">
        <f t="shared" si="20"/>
        <v>0.736615163492634</v>
      </c>
      <c r="AW184" s="13">
        <v>0.140836</v>
      </c>
      <c r="AX184" s="13">
        <v>0.357903</v>
      </c>
      <c r="AY184" s="13">
        <v>0.1737</v>
      </c>
      <c r="AZ184" s="13">
        <v>2.3246</v>
      </c>
      <c r="BA184" s="13">
        <v>0.828542016706858</v>
      </c>
      <c r="BB184" s="13">
        <v>0.0540653377464937</v>
      </c>
      <c r="BC184" s="13">
        <v>0.134302</v>
      </c>
    </row>
    <row r="185" spans="1:55">
      <c r="A185" s="8" t="s">
        <v>617</v>
      </c>
      <c r="B185" s="8" t="s">
        <v>618</v>
      </c>
      <c r="C185" s="8" t="s">
        <v>77</v>
      </c>
      <c r="D185" s="9">
        <v>6584</v>
      </c>
      <c r="E185" s="8" t="s">
        <v>132</v>
      </c>
      <c r="F185" s="8" t="s">
        <v>307</v>
      </c>
      <c r="G185" s="10">
        <v>377023382608.71</v>
      </c>
      <c r="H185" s="10">
        <v>6</v>
      </c>
      <c r="I185" s="9">
        <v>13338876747</v>
      </c>
      <c r="J185" s="9">
        <v>28587650142</v>
      </c>
      <c r="K185" s="11">
        <v>100</v>
      </c>
      <c r="L185" s="12">
        <v>44357</v>
      </c>
      <c r="M185" s="12">
        <v>31295</v>
      </c>
      <c r="N185" s="9">
        <f t="shared" si="14"/>
        <v>13062</v>
      </c>
      <c r="O185" s="13">
        <v>28.8613</v>
      </c>
      <c r="P185" s="13">
        <v>20.99</v>
      </c>
      <c r="Q185" s="13"/>
      <c r="R185" s="8"/>
      <c r="S185" s="13">
        <v>504381</v>
      </c>
      <c r="T185" s="13">
        <v>0.067</v>
      </c>
      <c r="U185" s="13">
        <v>4.6144</v>
      </c>
      <c r="V185" s="13">
        <f t="shared" si="15"/>
        <v>0.0145197642163662</v>
      </c>
      <c r="W185" s="13">
        <v>0.2135</v>
      </c>
      <c r="X185" s="13">
        <f t="shared" si="16"/>
        <v>0.313817330210773</v>
      </c>
      <c r="Y185" s="13">
        <v>0.072219</v>
      </c>
      <c r="Z185" s="13">
        <v>0.250951</v>
      </c>
      <c r="AA185" s="13">
        <v>0.0889</v>
      </c>
      <c r="AB185" s="13">
        <v>3.9503</v>
      </c>
      <c r="AC185" s="13">
        <v>0.6359</v>
      </c>
      <c r="AD185" s="13">
        <v>0.0863</v>
      </c>
      <c r="AE185" s="13">
        <v>0.121331</v>
      </c>
      <c r="AF185" s="13">
        <v>0.076</v>
      </c>
      <c r="AG185" s="13">
        <v>6.31073726082625</v>
      </c>
      <c r="AH185" s="13">
        <f t="shared" si="17"/>
        <v>0.0120429669084416</v>
      </c>
      <c r="AI185" s="13">
        <v>0.2501</v>
      </c>
      <c r="AJ185" s="13">
        <f t="shared" si="18"/>
        <v>0.303878448620552</v>
      </c>
      <c r="AK185" s="13">
        <v>0.0981</v>
      </c>
      <c r="AL185" s="13">
        <v>0.352043</v>
      </c>
      <c r="AM185" s="13">
        <v>0.0994</v>
      </c>
      <c r="AN185" s="13">
        <v>3.2857</v>
      </c>
      <c r="AO185" s="13">
        <v>0.708499063380071</v>
      </c>
      <c r="AP185" s="13">
        <v>0.229981876247237</v>
      </c>
      <c r="AQ185" s="13">
        <v>0.450447</v>
      </c>
      <c r="AR185" s="13">
        <v>0.078</v>
      </c>
      <c r="AS185" s="13">
        <v>5.30012052634697</v>
      </c>
      <c r="AT185" s="13">
        <f t="shared" si="19"/>
        <v>0.0147166464634645</v>
      </c>
      <c r="AU185" s="13">
        <v>0.2509</v>
      </c>
      <c r="AV185" s="13">
        <f t="shared" si="20"/>
        <v>0.310880829015544</v>
      </c>
      <c r="AW185" s="13">
        <v>0.09</v>
      </c>
      <c r="AX185" s="13">
        <v>0.312245</v>
      </c>
      <c r="AY185" s="13">
        <v>0.0923</v>
      </c>
      <c r="AZ185" s="13">
        <v>3.5959</v>
      </c>
      <c r="BA185" s="13">
        <v>0.544344861324832</v>
      </c>
      <c r="BB185" s="13">
        <v>0.110055166254912</v>
      </c>
      <c r="BC185" s="13">
        <v>0.112266</v>
      </c>
    </row>
    <row r="186" spans="1:55">
      <c r="A186" s="8" t="s">
        <v>619</v>
      </c>
      <c r="B186" s="8" t="s">
        <v>620</v>
      </c>
      <c r="C186" s="8" t="s">
        <v>89</v>
      </c>
      <c r="D186" s="9">
        <v>9648</v>
      </c>
      <c r="E186" s="8" t="s">
        <v>90</v>
      </c>
      <c r="F186" s="8" t="s">
        <v>59</v>
      </c>
      <c r="G186" s="10">
        <v>237570153942.15</v>
      </c>
      <c r="H186" s="10">
        <v>0</v>
      </c>
      <c r="I186" s="9">
        <v>2715567526</v>
      </c>
      <c r="J186" s="9">
        <v>7918340996</v>
      </c>
      <c r="K186" s="11">
        <v>49.5792</v>
      </c>
      <c r="L186" s="12">
        <v>43985</v>
      </c>
      <c r="M186" s="12">
        <v>37026</v>
      </c>
      <c r="N186" s="9">
        <f t="shared" si="14"/>
        <v>6959</v>
      </c>
      <c r="O186" s="13">
        <v>33.25</v>
      </c>
      <c r="P186" s="13">
        <v>13.2</v>
      </c>
      <c r="Q186" s="13"/>
      <c r="R186" s="8" t="s">
        <v>621</v>
      </c>
      <c r="S186" s="13">
        <v>97669</v>
      </c>
      <c r="T186" s="13">
        <v>0.025</v>
      </c>
      <c r="U186" s="13">
        <v>6.6871</v>
      </c>
      <c r="V186" s="13">
        <f t="shared" si="15"/>
        <v>0.00373854137069881</v>
      </c>
      <c r="W186" s="13">
        <v>0.11</v>
      </c>
      <c r="X186" s="13">
        <f t="shared" si="16"/>
        <v>0.227272727272727</v>
      </c>
      <c r="Y186" s="13">
        <v>0.02268</v>
      </c>
      <c r="Z186" s="13">
        <v>0.099289</v>
      </c>
      <c r="AA186" s="13">
        <v>0.0518</v>
      </c>
      <c r="AB186" s="13">
        <v>5.0858</v>
      </c>
      <c r="AC186" s="13">
        <v>2.5448</v>
      </c>
      <c r="AD186" s="13"/>
      <c r="AE186" s="13">
        <v>-0.146566</v>
      </c>
      <c r="AF186" s="13">
        <v>0.026</v>
      </c>
      <c r="AG186" s="13">
        <v>7.75094395340856</v>
      </c>
      <c r="AH186" s="13">
        <f t="shared" si="17"/>
        <v>0.00335443013861121</v>
      </c>
      <c r="AI186" s="13">
        <v>0.08</v>
      </c>
      <c r="AJ186" s="13">
        <f t="shared" si="18"/>
        <v>0.325</v>
      </c>
      <c r="AK186" s="13">
        <v>0.015955</v>
      </c>
      <c r="AL186" s="13">
        <v>0.075436</v>
      </c>
      <c r="AM186" s="13">
        <v>0.0462</v>
      </c>
      <c r="AN186" s="13">
        <v>5.455</v>
      </c>
      <c r="AO186" s="13">
        <v>1.77169166958413</v>
      </c>
      <c r="AP186" s="13"/>
      <c r="AQ186" s="13">
        <v>-0.290892</v>
      </c>
      <c r="AR186" s="13">
        <v>0.03</v>
      </c>
      <c r="AS186" s="13">
        <v>7.39182338903176</v>
      </c>
      <c r="AT186" s="13">
        <f t="shared" si="19"/>
        <v>0.0040585385257601</v>
      </c>
      <c r="AU186" s="13">
        <v>0.24</v>
      </c>
      <c r="AV186" s="13">
        <f t="shared" si="20"/>
        <v>0.125</v>
      </c>
      <c r="AW186" s="13">
        <v>0.046075</v>
      </c>
      <c r="AX186" s="13">
        <v>0.161511</v>
      </c>
      <c r="AY186" s="13">
        <v>0.0647</v>
      </c>
      <c r="AZ186" s="13">
        <v>5.0503</v>
      </c>
      <c r="BA186" s="13">
        <v>-0.0567536825940029</v>
      </c>
      <c r="BB186" s="13"/>
      <c r="BC186" s="13">
        <v>0.368636</v>
      </c>
    </row>
    <row r="187" spans="1:55">
      <c r="A187" s="8" t="s">
        <v>622</v>
      </c>
      <c r="B187" s="8" t="s">
        <v>623</v>
      </c>
      <c r="C187" s="8" t="s">
        <v>89</v>
      </c>
      <c r="D187" s="9">
        <v>20021</v>
      </c>
      <c r="E187" s="8" t="s">
        <v>83</v>
      </c>
      <c r="F187" s="8" t="s">
        <v>59</v>
      </c>
      <c r="G187" s="10">
        <v>4927496856000</v>
      </c>
      <c r="H187" s="10">
        <v>5</v>
      </c>
      <c r="I187" s="9">
        <v>13247419932</v>
      </c>
      <c r="J187" s="9">
        <v>18351324463</v>
      </c>
      <c r="K187" s="11">
        <v>100</v>
      </c>
      <c r="L187" s="12">
        <v>42584</v>
      </c>
      <c r="M187" s="12">
        <v>39104</v>
      </c>
      <c r="N187" s="9">
        <f t="shared" si="14"/>
        <v>3480</v>
      </c>
      <c r="O187" s="13">
        <v>6.98</v>
      </c>
      <c r="P187" s="13">
        <v>6.93</v>
      </c>
      <c r="Q187" s="13">
        <v>5.03</v>
      </c>
      <c r="R187" s="8" t="s">
        <v>624</v>
      </c>
      <c r="S187" s="13">
        <v>159305</v>
      </c>
      <c r="T187" s="13">
        <v>0.2144</v>
      </c>
      <c r="U187" s="13">
        <v>8.0625</v>
      </c>
      <c r="V187" s="13">
        <f t="shared" si="15"/>
        <v>0.0265922480620155</v>
      </c>
      <c r="W187" s="13">
        <v>1.65</v>
      </c>
      <c r="X187" s="13">
        <f t="shared" si="16"/>
        <v>0.129939393939394</v>
      </c>
      <c r="Y187" s="13">
        <v>0.114957</v>
      </c>
      <c r="Z187" s="13">
        <v>0.41213</v>
      </c>
      <c r="AA187" s="13">
        <v>0.022</v>
      </c>
      <c r="AB187" s="13">
        <v>13.2769</v>
      </c>
      <c r="AC187" s="13">
        <v>0.4559</v>
      </c>
      <c r="AD187" s="13"/>
      <c r="AE187" s="13">
        <v>0.087784</v>
      </c>
      <c r="AF187" s="13">
        <v>0.4907</v>
      </c>
      <c r="AG187" s="13">
        <v>6.96677615888413</v>
      </c>
      <c r="AH187" s="13">
        <f t="shared" si="17"/>
        <v>0.070434299711819</v>
      </c>
      <c r="AI187" s="13">
        <v>1.6</v>
      </c>
      <c r="AJ187" s="13">
        <f t="shared" si="18"/>
        <v>0.3066875</v>
      </c>
      <c r="AK187" s="13">
        <v>0.126658</v>
      </c>
      <c r="AL187" s="13">
        <v>0.373414</v>
      </c>
      <c r="AM187" s="13">
        <v>0.0252</v>
      </c>
      <c r="AN187" s="13">
        <v>13.9679</v>
      </c>
      <c r="AO187" s="13">
        <v>-0.054030596557861</v>
      </c>
      <c r="AP187" s="13"/>
      <c r="AQ187" s="13">
        <v>0.106616</v>
      </c>
      <c r="AR187" s="13">
        <v>0.47</v>
      </c>
      <c r="AS187" s="13">
        <v>7.17024669928205</v>
      </c>
      <c r="AT187" s="13">
        <f t="shared" si="19"/>
        <v>0.0655486512126648</v>
      </c>
      <c r="AU187" s="13">
        <v>1.69</v>
      </c>
      <c r="AV187" s="13">
        <f t="shared" si="20"/>
        <v>0.27810650887574</v>
      </c>
      <c r="AW187" s="13">
        <v>0.125262</v>
      </c>
      <c r="AX187" s="13">
        <v>0.403981</v>
      </c>
      <c r="AY187" s="13">
        <v>0.0233</v>
      </c>
      <c r="AZ187" s="13">
        <v>13.9065</v>
      </c>
      <c r="BA187" s="13">
        <v>2.87507066741686</v>
      </c>
      <c r="BB187" s="13"/>
      <c r="BC187" s="13">
        <v>0.052756</v>
      </c>
    </row>
    <row r="188" spans="1:55">
      <c r="A188" s="8" t="s">
        <v>625</v>
      </c>
      <c r="B188" s="8" t="s">
        <v>626</v>
      </c>
      <c r="C188" s="8" t="s">
        <v>57</v>
      </c>
      <c r="D188" s="9">
        <v>14380</v>
      </c>
      <c r="E188" s="8" t="s">
        <v>165</v>
      </c>
      <c r="F188" s="8" t="s">
        <v>59</v>
      </c>
      <c r="G188" s="10">
        <v>2295423508000</v>
      </c>
      <c r="H188" s="10">
        <v>26</v>
      </c>
      <c r="I188" s="9">
        <v>4913833604</v>
      </c>
      <c r="J188" s="9">
        <v>7249002548</v>
      </c>
      <c r="K188" s="11">
        <v>100</v>
      </c>
      <c r="L188" s="12">
        <v>42670</v>
      </c>
      <c r="M188" s="12">
        <v>35333</v>
      </c>
      <c r="N188" s="9">
        <f t="shared" si="14"/>
        <v>7337</v>
      </c>
      <c r="O188" s="13">
        <v>16.59</v>
      </c>
      <c r="P188" s="13">
        <v>9.66</v>
      </c>
      <c r="Q188" s="13">
        <v>5.97</v>
      </c>
      <c r="R188" s="8" t="s">
        <v>627</v>
      </c>
      <c r="S188" s="13">
        <v>67570</v>
      </c>
      <c r="T188" s="13">
        <v>0.28</v>
      </c>
      <c r="U188" s="13">
        <v>12.8124</v>
      </c>
      <c r="V188" s="13">
        <f t="shared" si="15"/>
        <v>0.0218538291030564</v>
      </c>
      <c r="W188" s="13">
        <v>2.74</v>
      </c>
      <c r="X188" s="13">
        <f t="shared" si="16"/>
        <v>0.102189781021898</v>
      </c>
      <c r="Y188" s="13">
        <v>0.137321</v>
      </c>
      <c r="Z188" s="13">
        <v>0.442471</v>
      </c>
      <c r="AA188" s="13">
        <v>0.0194</v>
      </c>
      <c r="AB188" s="13">
        <v>15.9847</v>
      </c>
      <c r="AC188" s="13">
        <v>1.7151</v>
      </c>
      <c r="AD188" s="13"/>
      <c r="AE188" s="13">
        <v>0.096118</v>
      </c>
      <c r="AF188" s="13">
        <v>0.4</v>
      </c>
      <c r="AG188" s="13">
        <v>13.9192284611449</v>
      </c>
      <c r="AH188" s="13">
        <f t="shared" si="17"/>
        <v>0.0287372249917866</v>
      </c>
      <c r="AI188" s="13">
        <v>1.83</v>
      </c>
      <c r="AJ188" s="13">
        <f t="shared" si="18"/>
        <v>0.218579234972678</v>
      </c>
      <c r="AK188" s="13">
        <v>0.123824</v>
      </c>
      <c r="AL188" s="13">
        <v>0.354655</v>
      </c>
      <c r="AM188" s="13">
        <v>0.0219</v>
      </c>
      <c r="AN188" s="13">
        <v>15.9406</v>
      </c>
      <c r="AO188" s="13">
        <v>2.76297075511821</v>
      </c>
      <c r="AP188" s="13"/>
      <c r="AQ188" s="13">
        <v>0.121612</v>
      </c>
      <c r="AR188" s="13">
        <v>0.52</v>
      </c>
      <c r="AS188" s="13">
        <v>11.7303297122172</v>
      </c>
      <c r="AT188" s="13">
        <f t="shared" si="19"/>
        <v>0.0443295297538327</v>
      </c>
      <c r="AU188" s="13">
        <v>2.31</v>
      </c>
      <c r="AV188" s="13">
        <f t="shared" si="20"/>
        <v>0.225108225108225</v>
      </c>
      <c r="AW188" s="13">
        <v>0.137072</v>
      </c>
      <c r="AX188" s="13">
        <v>0.410771</v>
      </c>
      <c r="AY188" s="13">
        <v>0.0203</v>
      </c>
      <c r="AZ188" s="13">
        <v>16.4765</v>
      </c>
      <c r="BA188" s="13">
        <v>2.06339188076517</v>
      </c>
      <c r="BB188" s="13"/>
      <c r="BC188" s="13">
        <v>0.063284</v>
      </c>
    </row>
    <row r="189" spans="1:55">
      <c r="A189" s="8" t="s">
        <v>628</v>
      </c>
      <c r="B189" s="8" t="s">
        <v>629</v>
      </c>
      <c r="C189" s="8" t="s">
        <v>77</v>
      </c>
      <c r="D189" s="9">
        <v>8562</v>
      </c>
      <c r="E189" s="8" t="s">
        <v>370</v>
      </c>
      <c r="F189" s="8" t="s">
        <v>307</v>
      </c>
      <c r="G189" s="10">
        <v>489785091913</v>
      </c>
      <c r="H189" s="10">
        <v>1</v>
      </c>
      <c r="I189" s="9">
        <v>2505175252</v>
      </c>
      <c r="J189" s="9">
        <v>41714285714</v>
      </c>
      <c r="K189" s="11">
        <v>6.0056</v>
      </c>
      <c r="L189" s="12">
        <v>45854</v>
      </c>
      <c r="M189" s="12">
        <v>40043</v>
      </c>
      <c r="N189" s="9">
        <f t="shared" si="14"/>
        <v>5811</v>
      </c>
      <c r="O189" s="13">
        <v>45.22</v>
      </c>
      <c r="P189" s="13">
        <v>26.78</v>
      </c>
      <c r="Q189" s="13">
        <v>2.15</v>
      </c>
      <c r="R189" s="8" t="s">
        <v>630</v>
      </c>
      <c r="S189" s="13">
        <v>479726</v>
      </c>
      <c r="T189" s="13"/>
      <c r="U189" s="13"/>
      <c r="V189" s="13" t="e">
        <f t="shared" si="15"/>
        <v>#DIV/0!</v>
      </c>
      <c r="W189" s="13">
        <v>0.24</v>
      </c>
      <c r="X189" s="13">
        <f t="shared" si="16"/>
        <v>0</v>
      </c>
      <c r="Y189" s="13">
        <v>0.093033</v>
      </c>
      <c r="Z189" s="13">
        <v>0.279077</v>
      </c>
      <c r="AA189" s="13">
        <v>0.087</v>
      </c>
      <c r="AB189" s="13">
        <v>4.1126</v>
      </c>
      <c r="AC189" s="13">
        <v>0.7114</v>
      </c>
      <c r="AD189" s="13">
        <v>0.1301</v>
      </c>
      <c r="AE189" s="13">
        <v>0.14833</v>
      </c>
      <c r="AF189" s="13"/>
      <c r="AG189" s="13"/>
      <c r="AH189" s="13" t="e">
        <f t="shared" si="17"/>
        <v>#DIV/0!</v>
      </c>
      <c r="AI189" s="13">
        <v>0.23</v>
      </c>
      <c r="AJ189" s="13">
        <f t="shared" si="18"/>
        <v>0</v>
      </c>
      <c r="AK189" s="13">
        <v>0.128823</v>
      </c>
      <c r="AL189" s="13">
        <v>0.366046</v>
      </c>
      <c r="AM189" s="13">
        <v>0.1009</v>
      </c>
      <c r="AN189" s="13">
        <v>3.698</v>
      </c>
      <c r="AO189" s="13">
        <v>1.20797186584275</v>
      </c>
      <c r="AP189" s="13">
        <v>0.134852004867061</v>
      </c>
      <c r="AQ189" s="13">
        <v>0.13489</v>
      </c>
      <c r="AR189" s="13"/>
      <c r="AS189" s="13"/>
      <c r="AT189" s="13" t="e">
        <f t="shared" si="19"/>
        <v>#DIV/0!</v>
      </c>
      <c r="AU189" s="13">
        <v>0.26</v>
      </c>
      <c r="AV189" s="13">
        <f t="shared" si="20"/>
        <v>0</v>
      </c>
      <c r="AW189" s="13">
        <v>0.122204</v>
      </c>
      <c r="AX189" s="13">
        <v>0.342728</v>
      </c>
      <c r="AY189" s="13">
        <v>0.0972</v>
      </c>
      <c r="AZ189" s="13">
        <v>3.8657</v>
      </c>
      <c r="BA189" s="13">
        <v>0.624608142411984</v>
      </c>
      <c r="BB189" s="13">
        <v>0.0786241880505295</v>
      </c>
      <c r="BC189" s="13">
        <v>0.19887</v>
      </c>
    </row>
    <row r="190" spans="1:55">
      <c r="A190" s="8" t="s">
        <v>631</v>
      </c>
      <c r="B190" s="8" t="s">
        <v>632</v>
      </c>
      <c r="C190" s="8" t="s">
        <v>77</v>
      </c>
      <c r="D190" s="9">
        <v>22393</v>
      </c>
      <c r="E190" s="8" t="s">
        <v>132</v>
      </c>
      <c r="F190" s="8" t="s">
        <v>171</v>
      </c>
      <c r="G190" s="10">
        <v>1126474000000</v>
      </c>
      <c r="H190" s="10">
        <v>2</v>
      </c>
      <c r="I190" s="9">
        <v>2327604495</v>
      </c>
      <c r="J190" s="9">
        <v>47529953984</v>
      </c>
      <c r="K190" s="11">
        <v>6.2908</v>
      </c>
      <c r="L190" s="12">
        <v>44672</v>
      </c>
      <c r="M190" s="12">
        <v>36392</v>
      </c>
      <c r="N190" s="9">
        <f t="shared" si="14"/>
        <v>8280</v>
      </c>
      <c r="O190" s="13">
        <v>60.54</v>
      </c>
      <c r="P190" s="13">
        <v>32.17</v>
      </c>
      <c r="Q190" s="13">
        <v>0.59</v>
      </c>
      <c r="R190" s="8" t="s">
        <v>633</v>
      </c>
      <c r="S190" s="13">
        <v>214763</v>
      </c>
      <c r="T190" s="13">
        <v>0.60506</v>
      </c>
      <c r="U190" s="13">
        <v>28.1072</v>
      </c>
      <c r="V190" s="13">
        <f t="shared" si="15"/>
        <v>0.0215268685603689</v>
      </c>
      <c r="W190" s="13">
        <v>2.9</v>
      </c>
      <c r="X190" s="13">
        <f t="shared" si="16"/>
        <v>0.208641379310345</v>
      </c>
      <c r="Y190" s="13">
        <v>0.195082</v>
      </c>
      <c r="Z190" s="13">
        <v>0.328133</v>
      </c>
      <c r="AA190" s="13">
        <v>0.4079</v>
      </c>
      <c r="AB190" s="13">
        <v>1.4581</v>
      </c>
      <c r="AC190" s="13">
        <v>0.5253</v>
      </c>
      <c r="AD190" s="13">
        <v>1.6835</v>
      </c>
      <c r="AE190" s="13">
        <v>0.009354</v>
      </c>
      <c r="AF190" s="13">
        <v>0.67654</v>
      </c>
      <c r="AG190" s="13">
        <v>16.0404598742193</v>
      </c>
      <c r="AH190" s="13">
        <f t="shared" si="17"/>
        <v>0.0421770950025788</v>
      </c>
      <c r="AI190" s="13">
        <v>3.03</v>
      </c>
      <c r="AJ190" s="13">
        <f t="shared" si="18"/>
        <v>0.223280528052805</v>
      </c>
      <c r="AK190" s="13">
        <v>0.262871</v>
      </c>
      <c r="AL190" s="13">
        <v>0.335545</v>
      </c>
      <c r="AM190" s="13">
        <v>0.4922</v>
      </c>
      <c r="AN190" s="13">
        <v>1.5913</v>
      </c>
      <c r="AO190" s="13">
        <v>0.486876820690145</v>
      </c>
      <c r="AP190" s="13">
        <v>1.84843594288788</v>
      </c>
      <c r="AQ190" s="13">
        <v>0.715608</v>
      </c>
      <c r="AR190" s="13">
        <v>0.60036</v>
      </c>
      <c r="AS190" s="13">
        <v>18.4117573582061</v>
      </c>
      <c r="AT190" s="13">
        <f t="shared" si="19"/>
        <v>0.0326074251533855</v>
      </c>
      <c r="AU190" s="13">
        <v>2.6</v>
      </c>
      <c r="AV190" s="13">
        <f t="shared" si="20"/>
        <v>0.230907692307692</v>
      </c>
      <c r="AW190" s="13">
        <v>0.19599</v>
      </c>
      <c r="AX190" s="13">
        <v>0.297857</v>
      </c>
      <c r="AY190" s="13">
        <v>0.4307</v>
      </c>
      <c r="AZ190" s="13">
        <v>1.5308</v>
      </c>
      <c r="BA190" s="13">
        <v>0.503452877878298</v>
      </c>
      <c r="BB190" s="13">
        <v>1.57303996320771</v>
      </c>
      <c r="BC190" s="13">
        <v>-0.013313</v>
      </c>
    </row>
    <row r="191" spans="1:55">
      <c r="A191" s="8" t="s">
        <v>634</v>
      </c>
      <c r="B191" s="8" t="s">
        <v>635</v>
      </c>
      <c r="C191" s="8" t="s">
        <v>77</v>
      </c>
      <c r="D191" s="9">
        <v>455405</v>
      </c>
      <c r="E191" s="8" t="s">
        <v>132</v>
      </c>
      <c r="F191" s="8" t="s">
        <v>222</v>
      </c>
      <c r="G191" s="10">
        <v>2073824000000</v>
      </c>
      <c r="H191" s="10">
        <v>3</v>
      </c>
      <c r="I191" s="9">
        <v>860400867</v>
      </c>
      <c r="J191" s="9">
        <v>21641494692</v>
      </c>
      <c r="K191" s="11">
        <v>4.1715</v>
      </c>
      <c r="L191" s="12">
        <v>44566</v>
      </c>
      <c r="M191" s="12">
        <v>35676</v>
      </c>
      <c r="N191" s="9">
        <f t="shared" si="14"/>
        <v>8890</v>
      </c>
      <c r="O191" s="13">
        <v>68.85</v>
      </c>
      <c r="P191" s="13">
        <v>25.84</v>
      </c>
      <c r="Q191" s="13">
        <v>0.38</v>
      </c>
      <c r="R191" s="8" t="s">
        <v>636</v>
      </c>
      <c r="S191" s="13">
        <v>142971</v>
      </c>
      <c r="T191" s="13">
        <v>2.2916</v>
      </c>
      <c r="U191" s="13">
        <v>104.3282</v>
      </c>
      <c r="V191" s="13">
        <f t="shared" si="15"/>
        <v>0.0219652979731271</v>
      </c>
      <c r="W191" s="13">
        <v>6.45</v>
      </c>
      <c r="X191" s="13">
        <f t="shared" si="16"/>
        <v>0.355286821705426</v>
      </c>
      <c r="Y191" s="13">
        <v>0.103916</v>
      </c>
      <c r="Z191" s="13">
        <v>0.133101</v>
      </c>
      <c r="AA191" s="13">
        <v>0.5165</v>
      </c>
      <c r="AB191" s="13">
        <v>1.5133</v>
      </c>
      <c r="AC191" s="13">
        <v>0.3034</v>
      </c>
      <c r="AD191" s="13">
        <v>0.6265</v>
      </c>
      <c r="AE191" s="13">
        <v>0.03116</v>
      </c>
      <c r="AF191" s="13">
        <v>1.9796</v>
      </c>
      <c r="AG191" s="13">
        <v>62.9284390675978</v>
      </c>
      <c r="AH191" s="13">
        <f t="shared" si="17"/>
        <v>0.0314579549299405</v>
      </c>
      <c r="AI191" s="13">
        <v>5.88</v>
      </c>
      <c r="AJ191" s="13">
        <f t="shared" si="18"/>
        <v>0.336666666666667</v>
      </c>
      <c r="AK191" s="13">
        <v>0.103127</v>
      </c>
      <c r="AL191" s="13">
        <v>0.134001</v>
      </c>
      <c r="AM191" s="13">
        <v>0.5058</v>
      </c>
      <c r="AN191" s="13">
        <v>1.5233</v>
      </c>
      <c r="AO191" s="13">
        <v>0.29954366935927</v>
      </c>
      <c r="AP191" s="13">
        <v>0.623551338084551</v>
      </c>
      <c r="AQ191" s="13">
        <v>0.104922</v>
      </c>
      <c r="AR191" s="13">
        <v>2.1849</v>
      </c>
      <c r="AS191" s="13">
        <v>93.0467291218539</v>
      </c>
      <c r="AT191" s="13">
        <f t="shared" si="19"/>
        <v>0.0234817496608468</v>
      </c>
      <c r="AU191" s="13">
        <v>6.16</v>
      </c>
      <c r="AV191" s="13">
        <f t="shared" si="20"/>
        <v>0.354691558441558</v>
      </c>
      <c r="AW191" s="13">
        <v>0.102602</v>
      </c>
      <c r="AX191" s="13">
        <v>0.130718</v>
      </c>
      <c r="AY191" s="13">
        <v>0.5233</v>
      </c>
      <c r="AZ191" s="13">
        <v>1.5019</v>
      </c>
      <c r="BA191" s="13">
        <v>0.300978193992127</v>
      </c>
      <c r="BB191" s="13">
        <v>0.601532498455865</v>
      </c>
      <c r="BC191" s="13">
        <v>0.076873</v>
      </c>
    </row>
    <row r="192" spans="1:55">
      <c r="A192" s="8" t="s">
        <v>637</v>
      </c>
      <c r="B192" s="8" t="s">
        <v>638</v>
      </c>
      <c r="C192" s="8" t="s">
        <v>89</v>
      </c>
      <c r="D192" s="9">
        <v>8082</v>
      </c>
      <c r="E192" s="8" t="s">
        <v>198</v>
      </c>
      <c r="F192" s="8" t="s">
        <v>59</v>
      </c>
      <c r="G192" s="10">
        <v>453940008289.95</v>
      </c>
      <c r="H192" s="10">
        <v>0</v>
      </c>
      <c r="I192" s="9">
        <v>4783868038</v>
      </c>
      <c r="J192" s="9">
        <v>8496645292</v>
      </c>
      <c r="K192" s="11">
        <v>87.911</v>
      </c>
      <c r="L192" s="12">
        <v>42086</v>
      </c>
      <c r="M192" s="12">
        <v>35774</v>
      </c>
      <c r="N192" s="9">
        <f t="shared" si="14"/>
        <v>6312</v>
      </c>
      <c r="O192" s="13">
        <v>26.63</v>
      </c>
      <c r="P192" s="13">
        <v>12.09</v>
      </c>
      <c r="Q192" s="13">
        <v>4.98</v>
      </c>
      <c r="R192" s="8" t="s">
        <v>639</v>
      </c>
      <c r="S192" s="13">
        <v>183844</v>
      </c>
      <c r="T192" s="13">
        <v>0.1</v>
      </c>
      <c r="U192" s="13">
        <v>9.6282</v>
      </c>
      <c r="V192" s="13">
        <f t="shared" si="15"/>
        <v>0.0103861573295112</v>
      </c>
      <c r="W192" s="13">
        <v>0.37</v>
      </c>
      <c r="X192" s="13">
        <f t="shared" si="16"/>
        <v>0.27027027027027</v>
      </c>
      <c r="Y192" s="13">
        <v>0.04184</v>
      </c>
      <c r="Z192" s="13">
        <v>0.174592</v>
      </c>
      <c r="AA192" s="13">
        <v>0.0479</v>
      </c>
      <c r="AB192" s="13">
        <v>5.0045</v>
      </c>
      <c r="AC192" s="13">
        <v>0.129</v>
      </c>
      <c r="AD192" s="13"/>
      <c r="AE192" s="13">
        <v>0.122881</v>
      </c>
      <c r="AF192" s="13">
        <v>0.15</v>
      </c>
      <c r="AG192" s="13">
        <v>10.0015973367944</v>
      </c>
      <c r="AH192" s="13">
        <f t="shared" si="17"/>
        <v>0.01499760437747</v>
      </c>
      <c r="AI192" s="13">
        <v>0.35</v>
      </c>
      <c r="AJ192" s="13">
        <f t="shared" si="18"/>
        <v>0.428571428571429</v>
      </c>
      <c r="AK192" s="13">
        <v>0.042548</v>
      </c>
      <c r="AL192" s="13">
        <v>0.160734</v>
      </c>
      <c r="AM192" s="13">
        <v>0.0539</v>
      </c>
      <c r="AN192" s="13">
        <v>4.9088</v>
      </c>
      <c r="AO192" s="13">
        <v>1.15419727244309</v>
      </c>
      <c r="AP192" s="13"/>
      <c r="AQ192" s="13">
        <v>-0.231501</v>
      </c>
      <c r="AR192" s="13">
        <v>0.15</v>
      </c>
      <c r="AS192" s="13">
        <v>10.2657319973337</v>
      </c>
      <c r="AT192" s="13">
        <f t="shared" si="19"/>
        <v>0.0146117198499785</v>
      </c>
      <c r="AU192" s="13">
        <v>0.3</v>
      </c>
      <c r="AV192" s="13">
        <f t="shared" si="20"/>
        <v>0.5</v>
      </c>
      <c r="AW192" s="13">
        <v>0.035275</v>
      </c>
      <c r="AX192" s="13">
        <v>0.161299</v>
      </c>
      <c r="AY192" s="13">
        <v>0.0455</v>
      </c>
      <c r="AZ192" s="13">
        <v>4.8149</v>
      </c>
      <c r="BA192" s="13">
        <v>1.25565458585401</v>
      </c>
      <c r="BB192" s="13"/>
      <c r="BC192" s="13">
        <v>-0.08749</v>
      </c>
    </row>
    <row r="193" spans="1:55">
      <c r="A193" s="8" t="s">
        <v>640</v>
      </c>
      <c r="B193" s="8" t="s">
        <v>641</v>
      </c>
      <c r="C193" s="8" t="s">
        <v>82</v>
      </c>
      <c r="D193" s="9">
        <v>20413</v>
      </c>
      <c r="E193" s="8" t="s">
        <v>642</v>
      </c>
      <c r="F193" s="8" t="s">
        <v>67</v>
      </c>
      <c r="G193" s="10">
        <v>90286181659.86</v>
      </c>
      <c r="H193" s="10">
        <v>0</v>
      </c>
      <c r="I193" s="9">
        <v>2167148730</v>
      </c>
      <c r="J193" s="9">
        <v>7333360000</v>
      </c>
      <c r="K193" s="11">
        <v>100</v>
      </c>
      <c r="L193" s="12">
        <v>43601</v>
      </c>
      <c r="M193" s="12">
        <v>38658</v>
      </c>
      <c r="N193" s="9">
        <f t="shared" si="14"/>
        <v>4943</v>
      </c>
      <c r="O193" s="13">
        <v>35.65</v>
      </c>
      <c r="P193" s="13">
        <v>27.27</v>
      </c>
      <c r="Q193" s="13">
        <v>7.53</v>
      </c>
      <c r="R193" s="8" t="s">
        <v>643</v>
      </c>
      <c r="S193" s="13">
        <v>65356</v>
      </c>
      <c r="T193" s="13">
        <v>0.8489</v>
      </c>
      <c r="U193" s="13">
        <v>15.9178</v>
      </c>
      <c r="V193" s="13">
        <f t="shared" si="15"/>
        <v>0.0533302340775735</v>
      </c>
      <c r="W193" s="13">
        <v>0.87</v>
      </c>
      <c r="X193" s="13">
        <f t="shared" si="16"/>
        <v>0.975747126436782</v>
      </c>
      <c r="Y193" s="13">
        <v>0.155444</v>
      </c>
      <c r="Z193" s="13">
        <v>0.19215</v>
      </c>
      <c r="AA193" s="13">
        <v>0.4092</v>
      </c>
      <c r="AB193" s="13">
        <v>1.9768</v>
      </c>
      <c r="AC193" s="13">
        <v>0.2698</v>
      </c>
      <c r="AD193" s="13">
        <v>0.1166</v>
      </c>
      <c r="AE193" s="13">
        <v>0.132051</v>
      </c>
      <c r="AF193" s="13">
        <v>0.14</v>
      </c>
      <c r="AG193" s="13">
        <v>14.7584991995082</v>
      </c>
      <c r="AH193" s="13">
        <f t="shared" si="17"/>
        <v>0.00948605939584055</v>
      </c>
      <c r="AI193" s="13">
        <v>0.86</v>
      </c>
      <c r="AJ193" s="13">
        <f t="shared" si="18"/>
        <v>0.162790697674419</v>
      </c>
      <c r="AK193" s="13">
        <v>0.195231</v>
      </c>
      <c r="AL193" s="13">
        <v>0.221686</v>
      </c>
      <c r="AM193" s="13">
        <v>0.5577</v>
      </c>
      <c r="AN193" s="13">
        <v>1.5791</v>
      </c>
      <c r="AO193" s="13">
        <v>0.233071363902069</v>
      </c>
      <c r="AP193" s="13">
        <v>0.187362134143195</v>
      </c>
      <c r="AQ193" s="13">
        <v>0.220169</v>
      </c>
      <c r="AR193" s="13">
        <v>0.5808</v>
      </c>
      <c r="AS193" s="13">
        <v>14.0327207226827</v>
      </c>
      <c r="AT193" s="13">
        <f t="shared" si="19"/>
        <v>0.0413889801897921</v>
      </c>
      <c r="AU193" s="13">
        <v>0.77</v>
      </c>
      <c r="AV193" s="13">
        <f t="shared" si="20"/>
        <v>0.754285714285714</v>
      </c>
      <c r="AW193" s="13">
        <v>0.15607</v>
      </c>
      <c r="AX193" s="13">
        <v>0.193943</v>
      </c>
      <c r="AY193" s="13">
        <v>0.451</v>
      </c>
      <c r="AZ193" s="13">
        <v>1.7844</v>
      </c>
      <c r="BA193" s="13">
        <v>0.298351510422053</v>
      </c>
      <c r="BB193" s="13">
        <v>0.0896660738899508</v>
      </c>
      <c r="BC193" s="13">
        <v>0.024821</v>
      </c>
    </row>
    <row r="194" spans="1:55">
      <c r="A194" s="8" t="s">
        <v>644</v>
      </c>
      <c r="B194" s="8" t="s">
        <v>645</v>
      </c>
      <c r="C194" s="8" t="s">
        <v>77</v>
      </c>
      <c r="D194" s="9">
        <v>12169</v>
      </c>
      <c r="E194" s="8" t="s">
        <v>58</v>
      </c>
      <c r="F194" s="8" t="s">
        <v>59</v>
      </c>
      <c r="G194" s="10">
        <v>745632156428.66</v>
      </c>
      <c r="H194" s="10">
        <v>18</v>
      </c>
      <c r="I194" s="9">
        <v>3016337568</v>
      </c>
      <c r="J194" s="9">
        <v>8696526806</v>
      </c>
      <c r="K194" s="11">
        <v>85.3445</v>
      </c>
      <c r="L194" s="12">
        <v>40134</v>
      </c>
      <c r="M194" s="12">
        <v>34182</v>
      </c>
      <c r="N194" s="9">
        <f t="shared" ref="N194:N257" si="21">L194-M194</f>
        <v>5952</v>
      </c>
      <c r="O194" s="13">
        <v>23.55</v>
      </c>
      <c r="P194" s="13">
        <v>19.59</v>
      </c>
      <c r="Q194" s="13">
        <v>14.65</v>
      </c>
      <c r="R194" s="8" t="s">
        <v>646</v>
      </c>
      <c r="S194" s="13">
        <v>175873</v>
      </c>
      <c r="T194" s="13">
        <v>0.377</v>
      </c>
      <c r="U194" s="13">
        <v>17.611</v>
      </c>
      <c r="V194" s="13">
        <f t="shared" ref="V194:V257" si="22">T194/U194</f>
        <v>0.0214070751235024</v>
      </c>
      <c r="W194" s="13">
        <v>1.13</v>
      </c>
      <c r="X194" s="13">
        <f t="shared" ref="X194:X257" si="23">T194/W194</f>
        <v>0.333628318584071</v>
      </c>
      <c r="Y194" s="13">
        <v>0.082382</v>
      </c>
      <c r="Z194" s="13">
        <v>0.497332</v>
      </c>
      <c r="AA194" s="13">
        <v>0.0295</v>
      </c>
      <c r="AB194" s="13">
        <v>5.6199</v>
      </c>
      <c r="AC194" s="13">
        <v>2.6196</v>
      </c>
      <c r="AD194" s="13"/>
      <c r="AE194" s="13">
        <v>0.053992</v>
      </c>
      <c r="AF194" s="13">
        <v>0.185</v>
      </c>
      <c r="AG194" s="13">
        <v>14.3100045907581</v>
      </c>
      <c r="AH194" s="13">
        <f t="shared" ref="AH194:AH257" si="24">AF194/AG194</f>
        <v>0.0129280182145769</v>
      </c>
      <c r="AI194" s="13">
        <v>0.86</v>
      </c>
      <c r="AJ194" s="13">
        <f t="shared" ref="AJ194:AJ257" si="25">AF194/AI194</f>
        <v>0.215116279069767</v>
      </c>
      <c r="AK194" s="13">
        <v>0.070915</v>
      </c>
      <c r="AL194" s="13">
        <v>0.420371</v>
      </c>
      <c r="AM194" s="13">
        <v>0.0318</v>
      </c>
      <c r="AN194" s="13">
        <v>5.31</v>
      </c>
      <c r="AO194" s="13">
        <v>3.25215123273674</v>
      </c>
      <c r="AP194" s="13"/>
      <c r="AQ194" s="13">
        <v>-0.346927</v>
      </c>
      <c r="AR194" s="13">
        <v>0.252</v>
      </c>
      <c r="AS194" s="13">
        <v>14.335833286337</v>
      </c>
      <c r="AT194" s="13">
        <f t="shared" ref="AT194:AT257" si="26">AR194/AS194</f>
        <v>0.017578329418784</v>
      </c>
      <c r="AU194" s="13">
        <v>0.94</v>
      </c>
      <c r="AV194" s="13">
        <f t="shared" ref="AV194:AV257" si="27">AR194/AU194</f>
        <v>0.268085106382979</v>
      </c>
      <c r="AW194" s="13">
        <v>0.07392</v>
      </c>
      <c r="AX194" s="13">
        <v>0.442409</v>
      </c>
      <c r="AY194" s="13">
        <v>0.0303</v>
      </c>
      <c r="AZ194" s="13">
        <v>5.5141</v>
      </c>
      <c r="BA194" s="13">
        <v>1.36741004672348</v>
      </c>
      <c r="BB194" s="13"/>
      <c r="BC194" s="13">
        <v>0.031322</v>
      </c>
    </row>
    <row r="195" spans="1:55">
      <c r="A195" s="8" t="s">
        <v>647</v>
      </c>
      <c r="B195" s="8" t="s">
        <v>648</v>
      </c>
      <c r="C195" s="8" t="s">
        <v>77</v>
      </c>
      <c r="D195" s="9">
        <v>88072</v>
      </c>
      <c r="E195" s="8" t="s">
        <v>177</v>
      </c>
      <c r="F195" s="8" t="s">
        <v>184</v>
      </c>
      <c r="G195" s="10">
        <v>211922950795</v>
      </c>
      <c r="H195" s="10">
        <v>0</v>
      </c>
      <c r="I195" s="9">
        <v>10283601661</v>
      </c>
      <c r="J195" s="9">
        <v>20147177716</v>
      </c>
      <c r="K195" s="11">
        <v>100</v>
      </c>
      <c r="L195" s="12">
        <v>38930</v>
      </c>
      <c r="M195" s="12">
        <v>38288</v>
      </c>
      <c r="N195" s="9">
        <f t="shared" si="21"/>
        <v>642</v>
      </c>
      <c r="O195" s="13">
        <v>48.96</v>
      </c>
      <c r="P195" s="13">
        <v>4.99</v>
      </c>
      <c r="Q195" s="13">
        <v>3.02</v>
      </c>
      <c r="R195" s="8" t="s">
        <v>649</v>
      </c>
      <c r="S195" s="13">
        <v>210325</v>
      </c>
      <c r="T195" s="13">
        <v>0.14</v>
      </c>
      <c r="U195" s="13">
        <v>7.0579</v>
      </c>
      <c r="V195" s="13">
        <f t="shared" si="22"/>
        <v>0.0198359285339832</v>
      </c>
      <c r="W195" s="13">
        <v>0.51</v>
      </c>
      <c r="X195" s="13">
        <f t="shared" si="23"/>
        <v>0.274509803921569</v>
      </c>
      <c r="Y195" s="13">
        <v>0.061777</v>
      </c>
      <c r="Z195" s="13">
        <v>0.137675</v>
      </c>
      <c r="AA195" s="13">
        <v>0.3599</v>
      </c>
      <c r="AB195" s="13">
        <v>1.417</v>
      </c>
      <c r="AC195" s="13">
        <v>0.1248</v>
      </c>
      <c r="AD195" s="13">
        <v>4.0122</v>
      </c>
      <c r="AE195" s="13">
        <v>-0.078908</v>
      </c>
      <c r="AF195" s="13">
        <v>0.48</v>
      </c>
      <c r="AG195" s="13">
        <v>6.66710137338173</v>
      </c>
      <c r="AH195" s="13">
        <f t="shared" si="24"/>
        <v>0.0719953054735886</v>
      </c>
      <c r="AI195" s="13">
        <v>0.75</v>
      </c>
      <c r="AJ195" s="13">
        <f t="shared" si="25"/>
        <v>0.64</v>
      </c>
      <c r="AK195" s="13">
        <v>0.088618</v>
      </c>
      <c r="AL195" s="13">
        <v>0.169658</v>
      </c>
      <c r="AM195" s="13">
        <v>0.378</v>
      </c>
      <c r="AN195" s="13">
        <v>1.5863</v>
      </c>
      <c r="AO195" s="13">
        <v>0.212547538202676</v>
      </c>
      <c r="AP195" s="13">
        <v>3.59433662916065</v>
      </c>
      <c r="AQ195" s="13">
        <v>-0.037167</v>
      </c>
      <c r="AR195" s="13">
        <v>0.38193</v>
      </c>
      <c r="AS195" s="13">
        <v>7.28144030101211</v>
      </c>
      <c r="AT195" s="13">
        <f t="shared" si="26"/>
        <v>0.0524525346924718</v>
      </c>
      <c r="AU195" s="13">
        <v>0.79</v>
      </c>
      <c r="AV195" s="13">
        <f t="shared" si="27"/>
        <v>0.483455696202532</v>
      </c>
      <c r="AW195" s="13">
        <v>0.089684</v>
      </c>
      <c r="AX195" s="13">
        <v>0.167347</v>
      </c>
      <c r="AY195" s="13">
        <v>0.3953</v>
      </c>
      <c r="AZ195" s="13">
        <v>1.541</v>
      </c>
      <c r="BA195" s="13">
        <v>0.212855813149996</v>
      </c>
      <c r="BB195" s="13">
        <v>4.32934505524533</v>
      </c>
      <c r="BC195" s="13">
        <v>0.069468</v>
      </c>
    </row>
    <row r="196" spans="1:55">
      <c r="A196" s="8" t="s">
        <v>650</v>
      </c>
      <c r="B196" s="8" t="s">
        <v>651</v>
      </c>
      <c r="C196" s="8" t="s">
        <v>89</v>
      </c>
      <c r="D196" s="9">
        <v>17735</v>
      </c>
      <c r="E196" s="8" t="s">
        <v>83</v>
      </c>
      <c r="F196" s="8" t="s">
        <v>59</v>
      </c>
      <c r="G196" s="10">
        <v>2962307669000</v>
      </c>
      <c r="H196" s="10">
        <v>3</v>
      </c>
      <c r="I196" s="9">
        <v>5468101427</v>
      </c>
      <c r="J196" s="9">
        <v>12363567245</v>
      </c>
      <c r="K196" s="11">
        <v>100</v>
      </c>
      <c r="L196" s="12">
        <v>39282</v>
      </c>
      <c r="M196" s="12">
        <v>35101</v>
      </c>
      <c r="N196" s="9">
        <f t="shared" si="21"/>
        <v>4181</v>
      </c>
      <c r="O196" s="13">
        <v>14.21</v>
      </c>
      <c r="P196" s="13">
        <v>12.75</v>
      </c>
      <c r="Q196" s="13">
        <v>10.76</v>
      </c>
      <c r="R196" s="8"/>
      <c r="S196" s="13">
        <v>76761</v>
      </c>
      <c r="T196" s="13">
        <v>0.19931</v>
      </c>
      <c r="U196" s="13">
        <v>9.8528</v>
      </c>
      <c r="V196" s="13">
        <f t="shared" si="22"/>
        <v>0.0202287674569665</v>
      </c>
      <c r="W196" s="13">
        <v>1.83</v>
      </c>
      <c r="X196" s="13">
        <f t="shared" si="23"/>
        <v>0.108912568306011</v>
      </c>
      <c r="Y196" s="13">
        <v>0.112691</v>
      </c>
      <c r="Z196" s="13">
        <v>0.405086</v>
      </c>
      <c r="AA196" s="13">
        <v>0.0206</v>
      </c>
      <c r="AB196" s="13">
        <v>13.6269</v>
      </c>
      <c r="AC196" s="13">
        <v>-1.3088</v>
      </c>
      <c r="AD196" s="13"/>
      <c r="AE196" s="13">
        <v>0.113233</v>
      </c>
      <c r="AF196" s="13">
        <v>0.5339</v>
      </c>
      <c r="AG196" s="13">
        <v>10.4897409070376</v>
      </c>
      <c r="AH196" s="13">
        <f t="shared" si="24"/>
        <v>0.0508973486315382</v>
      </c>
      <c r="AI196" s="13">
        <v>1.76</v>
      </c>
      <c r="AJ196" s="13">
        <f t="shared" si="25"/>
        <v>0.303352272727273</v>
      </c>
      <c r="AK196" s="13">
        <v>0.132615</v>
      </c>
      <c r="AL196" s="13">
        <v>0.415724</v>
      </c>
      <c r="AM196" s="13">
        <v>0.0234</v>
      </c>
      <c r="AN196" s="13">
        <v>13.7183</v>
      </c>
      <c r="AO196" s="13">
        <v>2.19296962501379</v>
      </c>
      <c r="AP196" s="13"/>
      <c r="AQ196" s="13">
        <v>0.089951</v>
      </c>
      <c r="AR196" s="13">
        <v>0.5367</v>
      </c>
      <c r="AS196" s="13">
        <v>8.75940479951637</v>
      </c>
      <c r="AT196" s="13">
        <f t="shared" si="26"/>
        <v>0.0612712863811971</v>
      </c>
      <c r="AU196" s="13">
        <v>1.68</v>
      </c>
      <c r="AV196" s="13">
        <f t="shared" si="27"/>
        <v>0.319464285714286</v>
      </c>
      <c r="AW196" s="13">
        <v>0.113573</v>
      </c>
      <c r="AX196" s="13">
        <v>0.412548</v>
      </c>
      <c r="AY196" s="13">
        <v>0.0208</v>
      </c>
      <c r="AZ196" s="13">
        <v>13.3442</v>
      </c>
      <c r="BA196" s="13">
        <v>0.820623124107788</v>
      </c>
      <c r="BB196" s="13"/>
      <c r="BC196" s="13">
        <v>0.012399</v>
      </c>
    </row>
    <row r="197" spans="1:55">
      <c r="A197" s="8" t="s">
        <v>652</v>
      </c>
      <c r="B197" s="8" t="s">
        <v>653</v>
      </c>
      <c r="C197" s="8" t="s">
        <v>82</v>
      </c>
      <c r="D197" s="9">
        <v>37853</v>
      </c>
      <c r="E197" s="8" t="s">
        <v>136</v>
      </c>
      <c r="F197" s="8" t="s">
        <v>67</v>
      </c>
      <c r="G197" s="10">
        <v>153972478031.54</v>
      </c>
      <c r="H197" s="10">
        <v>9</v>
      </c>
      <c r="I197" s="9">
        <v>5970121693</v>
      </c>
      <c r="J197" s="9">
        <v>7578060130</v>
      </c>
      <c r="K197" s="11">
        <v>99.9999</v>
      </c>
      <c r="L197" s="12">
        <v>41010</v>
      </c>
      <c r="M197" s="12">
        <v>36570</v>
      </c>
      <c r="N197" s="9">
        <f t="shared" si="21"/>
        <v>4440</v>
      </c>
      <c r="O197" s="13">
        <v>14.08</v>
      </c>
      <c r="P197" s="13">
        <v>5.02</v>
      </c>
      <c r="Q197" s="13">
        <v>5</v>
      </c>
      <c r="R197" s="8" t="s">
        <v>654</v>
      </c>
      <c r="S197" s="13">
        <v>828820</v>
      </c>
      <c r="T197" s="13"/>
      <c r="U197" s="13">
        <v>18.1636</v>
      </c>
      <c r="V197" s="13">
        <f t="shared" si="22"/>
        <v>0</v>
      </c>
      <c r="W197" s="13">
        <v>-1.14</v>
      </c>
      <c r="X197" s="13">
        <f t="shared" si="23"/>
        <v>0</v>
      </c>
      <c r="Y197" s="13">
        <v>-0.131177</v>
      </c>
      <c r="Z197" s="13">
        <v>-0.105076</v>
      </c>
      <c r="AA197" s="13">
        <v>0.5213</v>
      </c>
      <c r="AB197" s="13">
        <v>2.4113</v>
      </c>
      <c r="AC197" s="13">
        <v>-0.0572</v>
      </c>
      <c r="AD197" s="13">
        <v>0.905</v>
      </c>
      <c r="AE197" s="13">
        <v>-0.362288</v>
      </c>
      <c r="AF197" s="13">
        <v>0.4</v>
      </c>
      <c r="AG197" s="13">
        <v>60.376419245706</v>
      </c>
      <c r="AH197" s="13">
        <f t="shared" si="24"/>
        <v>0.00662510306171309</v>
      </c>
      <c r="AI197" s="13">
        <v>1.95</v>
      </c>
      <c r="AJ197" s="13">
        <f t="shared" si="25"/>
        <v>0.205128205128205</v>
      </c>
      <c r="AK197" s="13">
        <v>0.270298</v>
      </c>
      <c r="AL197" s="13">
        <v>0.114442</v>
      </c>
      <c r="AM197" s="13">
        <v>1.0873</v>
      </c>
      <c r="AN197" s="13">
        <v>2.1652</v>
      </c>
      <c r="AO197" s="13">
        <v>0.188918544050865</v>
      </c>
      <c r="AP197" s="13">
        <v>0.900660812651623</v>
      </c>
      <c r="AQ197" s="13">
        <v>0.600317</v>
      </c>
      <c r="AR197" s="13">
        <v>0.17</v>
      </c>
      <c r="AS197" s="13">
        <v>30.6101692791703</v>
      </c>
      <c r="AT197" s="13">
        <f t="shared" si="26"/>
        <v>0.00555370989456377</v>
      </c>
      <c r="AU197" s="13">
        <v>1.42</v>
      </c>
      <c r="AV197" s="13">
        <f t="shared" si="27"/>
        <v>0.119718309859155</v>
      </c>
      <c r="AW197" s="13">
        <v>0.162115</v>
      </c>
      <c r="AX197" s="13">
        <v>0.082524</v>
      </c>
      <c r="AY197" s="13">
        <v>0.8533</v>
      </c>
      <c r="AZ197" s="13">
        <v>2.2884</v>
      </c>
      <c r="BA197" s="13">
        <v>0.0626834708354085</v>
      </c>
      <c r="BB197" s="13">
        <v>0.801119411333781</v>
      </c>
      <c r="BC197" s="13">
        <v>0.003873</v>
      </c>
    </row>
    <row r="198" spans="1:55">
      <c r="A198" s="8" t="s">
        <v>655</v>
      </c>
      <c r="B198" s="8" t="s">
        <v>656</v>
      </c>
      <c r="C198" s="8" t="s">
        <v>89</v>
      </c>
      <c r="D198" s="9">
        <v>17200</v>
      </c>
      <c r="E198" s="8" t="s">
        <v>165</v>
      </c>
      <c r="F198" s="8" t="s">
        <v>184</v>
      </c>
      <c r="G198" s="10">
        <v>117626193000</v>
      </c>
      <c r="H198" s="10">
        <v>0</v>
      </c>
      <c r="I198" s="9">
        <v>3068054656</v>
      </c>
      <c r="J198" s="9">
        <v>19454388399</v>
      </c>
      <c r="K198" s="11">
        <v>100</v>
      </c>
      <c r="L198" s="12">
        <v>40449</v>
      </c>
      <c r="M198" s="12">
        <v>39538</v>
      </c>
      <c r="N198" s="9">
        <f t="shared" si="21"/>
        <v>911</v>
      </c>
      <c r="O198" s="13">
        <v>61.15</v>
      </c>
      <c r="P198" s="13">
        <v>20.98</v>
      </c>
      <c r="Q198" s="13">
        <v>4.06</v>
      </c>
      <c r="R198" s="8" t="s">
        <v>657</v>
      </c>
      <c r="S198" s="13">
        <v>149453</v>
      </c>
      <c r="T198" s="13">
        <v>0.108</v>
      </c>
      <c r="U198" s="13">
        <v>3.6251</v>
      </c>
      <c r="V198" s="13">
        <f t="shared" si="22"/>
        <v>0.0297922815922319</v>
      </c>
      <c r="W198" s="13">
        <v>0.25</v>
      </c>
      <c r="X198" s="13">
        <f t="shared" si="23"/>
        <v>0.432</v>
      </c>
      <c r="Y198" s="13">
        <v>0.063945</v>
      </c>
      <c r="Z198" s="13">
        <v>0.188443</v>
      </c>
      <c r="AA198" s="13">
        <v>0.2549</v>
      </c>
      <c r="AB198" s="13">
        <v>1.4705</v>
      </c>
      <c r="AC198" s="13">
        <v>0.2356</v>
      </c>
      <c r="AD198" s="13">
        <v>0.3118</v>
      </c>
      <c r="AE198" s="13">
        <v>0.104224</v>
      </c>
      <c r="AF198" s="13">
        <v>0.087</v>
      </c>
      <c r="AG198" s="13">
        <v>3.97520692902533</v>
      </c>
      <c r="AH198" s="13">
        <f t="shared" si="24"/>
        <v>0.0218856531378937</v>
      </c>
      <c r="AI198" s="13">
        <v>0.25</v>
      </c>
      <c r="AJ198" s="13">
        <f t="shared" si="25"/>
        <v>0.348</v>
      </c>
      <c r="AK198" s="13">
        <v>0.06663</v>
      </c>
      <c r="AL198" s="13">
        <v>0.18159</v>
      </c>
      <c r="AM198" s="13">
        <v>0.2522</v>
      </c>
      <c r="AN198" s="13">
        <v>1.6092</v>
      </c>
      <c r="AO198" s="13">
        <v>0.196427825996699</v>
      </c>
      <c r="AP198" s="13">
        <v>0.913897207070347</v>
      </c>
      <c r="AQ198" s="13">
        <v>0.111412</v>
      </c>
      <c r="AR198" s="13">
        <v>0.091</v>
      </c>
      <c r="AS198" s="13">
        <v>3.60213924203618</v>
      </c>
      <c r="AT198" s="13">
        <f t="shared" si="26"/>
        <v>0.0252627657859668</v>
      </c>
      <c r="AU198" s="13">
        <v>0.24</v>
      </c>
      <c r="AV198" s="13">
        <f t="shared" si="27"/>
        <v>0.379166666666667</v>
      </c>
      <c r="AW198" s="13">
        <v>0.063583</v>
      </c>
      <c r="AX198" s="13">
        <v>0.198935</v>
      </c>
      <c r="AY198" s="13">
        <v>0.235</v>
      </c>
      <c r="AZ198" s="13">
        <v>1.5065</v>
      </c>
      <c r="BA198" s="13">
        <v>0.28292003293169</v>
      </c>
      <c r="BB198" s="13">
        <v>0.453484885548734</v>
      </c>
      <c r="BC198" s="13">
        <v>0.00115</v>
      </c>
    </row>
    <row r="199" spans="1:55">
      <c r="A199" s="8" t="s">
        <v>658</v>
      </c>
      <c r="B199" s="8" t="s">
        <v>659</v>
      </c>
      <c r="C199" s="8" t="s">
        <v>82</v>
      </c>
      <c r="D199" s="9">
        <v>8489</v>
      </c>
      <c r="E199" s="8" t="s">
        <v>198</v>
      </c>
      <c r="F199" s="8" t="s">
        <v>184</v>
      </c>
      <c r="G199" s="10">
        <v>46526995587</v>
      </c>
      <c r="H199" s="10">
        <v>0</v>
      </c>
      <c r="I199" s="9">
        <v>431902340</v>
      </c>
      <c r="J199" s="9">
        <v>978333423</v>
      </c>
      <c r="K199" s="11">
        <v>100</v>
      </c>
      <c r="L199" s="12">
        <v>42025</v>
      </c>
      <c r="M199" s="12">
        <v>38292</v>
      </c>
      <c r="N199" s="9">
        <f t="shared" si="21"/>
        <v>3733</v>
      </c>
      <c r="O199" s="13">
        <v>51.52</v>
      </c>
      <c r="P199" s="13">
        <v>2.24</v>
      </c>
      <c r="Q199" s="13">
        <v>1.92</v>
      </c>
      <c r="R199" s="8" t="s">
        <v>660</v>
      </c>
      <c r="S199" s="13">
        <v>30164</v>
      </c>
      <c r="T199" s="13">
        <v>0.82</v>
      </c>
      <c r="U199" s="13">
        <v>55.3352</v>
      </c>
      <c r="V199" s="13">
        <f t="shared" si="22"/>
        <v>0.0148187771978777</v>
      </c>
      <c r="W199" s="13">
        <v>2.33</v>
      </c>
      <c r="X199" s="13">
        <f t="shared" si="23"/>
        <v>0.351931330472103</v>
      </c>
      <c r="Y199" s="13">
        <v>0.13721</v>
      </c>
      <c r="Z199" s="13">
        <v>0.113648</v>
      </c>
      <c r="AA199" s="13">
        <v>0.4542</v>
      </c>
      <c r="AB199" s="13">
        <v>2.6583</v>
      </c>
      <c r="AC199" s="13">
        <v>0.2947</v>
      </c>
      <c r="AD199" s="13">
        <v>1.1299</v>
      </c>
      <c r="AE199" s="13">
        <v>0.114956</v>
      </c>
      <c r="AF199" s="13"/>
      <c r="AG199" s="13">
        <v>52.5872883263914</v>
      </c>
      <c r="AH199" s="13">
        <f t="shared" si="24"/>
        <v>0</v>
      </c>
      <c r="AI199" s="13">
        <v>-3.3</v>
      </c>
      <c r="AJ199" s="13">
        <f t="shared" si="25"/>
        <v>0</v>
      </c>
      <c r="AK199" s="13">
        <v>-0.22127</v>
      </c>
      <c r="AL199" s="13">
        <v>-0.362748</v>
      </c>
      <c r="AM199" s="13">
        <v>0.2048</v>
      </c>
      <c r="AN199" s="13">
        <v>2.9789</v>
      </c>
      <c r="AO199" s="13">
        <v>0.0524103278986793</v>
      </c>
      <c r="AP199" s="13">
        <v>0.768116974513746</v>
      </c>
      <c r="AQ199" s="13">
        <v>-0.229243</v>
      </c>
      <c r="AR199" s="13">
        <v>0.7</v>
      </c>
      <c r="AS199" s="13">
        <v>58.1898671632614</v>
      </c>
      <c r="AT199" s="13">
        <f t="shared" si="26"/>
        <v>0.0120295858046218</v>
      </c>
      <c r="AU199" s="13">
        <v>2.31</v>
      </c>
      <c r="AV199" s="13">
        <f t="shared" si="27"/>
        <v>0.303030303030303</v>
      </c>
      <c r="AW199" s="13">
        <v>0.153343</v>
      </c>
      <c r="AX199" s="13">
        <v>0.125847</v>
      </c>
      <c r="AY199" s="13">
        <v>0.4093</v>
      </c>
      <c r="AZ199" s="13">
        <v>2.9772</v>
      </c>
      <c r="BA199" s="13">
        <v>0.373186775161715</v>
      </c>
      <c r="BB199" s="13">
        <v>0.905190051107282</v>
      </c>
      <c r="BC199" s="13">
        <v>1.143378</v>
      </c>
    </row>
    <row r="200" spans="1:55">
      <c r="A200" s="8" t="s">
        <v>661</v>
      </c>
      <c r="B200" s="8" t="s">
        <v>662</v>
      </c>
      <c r="C200" s="8" t="s">
        <v>82</v>
      </c>
      <c r="D200" s="9">
        <v>21077</v>
      </c>
      <c r="E200" s="8" t="s">
        <v>90</v>
      </c>
      <c r="F200" s="8" t="s">
        <v>67</v>
      </c>
      <c r="G200" s="10">
        <v>45825323443.63</v>
      </c>
      <c r="H200" s="10">
        <v>12</v>
      </c>
      <c r="I200" s="9">
        <v>2429626184</v>
      </c>
      <c r="J200" s="9">
        <v>3288100259</v>
      </c>
      <c r="K200" s="11">
        <v>100</v>
      </c>
      <c r="L200" s="12">
        <v>40724</v>
      </c>
      <c r="M200" s="12">
        <v>37578</v>
      </c>
      <c r="N200" s="9">
        <f t="shared" si="21"/>
        <v>3146</v>
      </c>
      <c r="O200" s="13">
        <v>16.92</v>
      </c>
      <c r="P200" s="13">
        <v>6.83</v>
      </c>
      <c r="Q200" s="13">
        <v>3.85</v>
      </c>
      <c r="R200" s="8" t="s">
        <v>663</v>
      </c>
      <c r="S200" s="13">
        <v>47367</v>
      </c>
      <c r="T200" s="13">
        <v>0.23</v>
      </c>
      <c r="U200" s="13">
        <v>14.1645</v>
      </c>
      <c r="V200" s="13">
        <f t="shared" si="22"/>
        <v>0.0162377775424477</v>
      </c>
      <c r="W200" s="13">
        <v>1.26</v>
      </c>
      <c r="X200" s="13">
        <f t="shared" si="23"/>
        <v>0.182539682539683</v>
      </c>
      <c r="Y200" s="13">
        <v>0.236459</v>
      </c>
      <c r="Z200" s="13">
        <v>0.12966</v>
      </c>
      <c r="AA200" s="13">
        <v>0.8594</v>
      </c>
      <c r="AB200" s="13">
        <v>2.1538</v>
      </c>
      <c r="AC200" s="13">
        <v>0.072</v>
      </c>
      <c r="AD200" s="13">
        <v>0.3778</v>
      </c>
      <c r="AE200" s="13">
        <v>0.224192</v>
      </c>
      <c r="AF200" s="13">
        <v>0.15</v>
      </c>
      <c r="AG200" s="13">
        <v>10.6717991332579</v>
      </c>
      <c r="AH200" s="13">
        <f t="shared" si="24"/>
        <v>0.014055736818784</v>
      </c>
      <c r="AI200" s="13">
        <v>0.44</v>
      </c>
      <c r="AJ200" s="13">
        <f t="shared" si="25"/>
        <v>0.340909090909091</v>
      </c>
      <c r="AK200" s="13">
        <v>0.116063</v>
      </c>
      <c r="AL200" s="13">
        <v>0.065189</v>
      </c>
      <c r="AM200" s="13">
        <v>0.785</v>
      </c>
      <c r="AN200" s="13">
        <v>2.4316</v>
      </c>
      <c r="AO200" s="13">
        <v>0.100401524861136</v>
      </c>
      <c r="AP200" s="13">
        <v>0.443588668244082</v>
      </c>
      <c r="AQ200" s="13">
        <v>0.216896</v>
      </c>
      <c r="AR200" s="13">
        <v>0.17</v>
      </c>
      <c r="AS200" s="13">
        <v>11.0895993042276</v>
      </c>
      <c r="AT200" s="13">
        <f t="shared" si="26"/>
        <v>0.0153296792189049</v>
      </c>
      <c r="AU200" s="13">
        <v>1.01</v>
      </c>
      <c r="AV200" s="13">
        <f t="shared" si="27"/>
        <v>0.168316831683168</v>
      </c>
      <c r="AW200" s="13">
        <v>0.228382</v>
      </c>
      <c r="AX200" s="13">
        <v>0.123262</v>
      </c>
      <c r="AY200" s="13">
        <v>0.82</v>
      </c>
      <c r="AZ200" s="13">
        <v>2.3403</v>
      </c>
      <c r="BA200" s="13">
        <v>0.204532411077288</v>
      </c>
      <c r="BB200" s="13">
        <v>0.386829831417878</v>
      </c>
      <c r="BC200" s="13">
        <v>0.186102</v>
      </c>
    </row>
    <row r="201" spans="1:55">
      <c r="A201" s="8" t="s">
        <v>664</v>
      </c>
      <c r="B201" s="8" t="s">
        <v>665</v>
      </c>
      <c r="C201" s="8" t="s">
        <v>77</v>
      </c>
      <c r="D201" s="9">
        <v>2792</v>
      </c>
      <c r="E201" s="8" t="s">
        <v>132</v>
      </c>
      <c r="F201" s="8" t="s">
        <v>59</v>
      </c>
      <c r="G201" s="10">
        <v>128250973853.55</v>
      </c>
      <c r="H201" s="10">
        <v>0</v>
      </c>
      <c r="I201" s="9">
        <v>691600000</v>
      </c>
      <c r="J201" s="9">
        <v>3243000000</v>
      </c>
      <c r="K201" s="11">
        <v>21.3259</v>
      </c>
      <c r="L201" s="12">
        <v>44958</v>
      </c>
      <c r="M201" s="12">
        <v>39329</v>
      </c>
      <c r="N201" s="9">
        <f t="shared" si="21"/>
        <v>5629</v>
      </c>
      <c r="O201" s="13">
        <v>78.67</v>
      </c>
      <c r="P201" s="13">
        <v>1.23</v>
      </c>
      <c r="Q201" s="13">
        <v>0.9</v>
      </c>
      <c r="R201" s="8"/>
      <c r="S201" s="13">
        <v>80157</v>
      </c>
      <c r="T201" s="13">
        <v>0.027</v>
      </c>
      <c r="U201" s="13">
        <v>15.5191</v>
      </c>
      <c r="V201" s="13">
        <f t="shared" si="22"/>
        <v>0.00173979161162696</v>
      </c>
      <c r="W201" s="13">
        <v>0.41</v>
      </c>
      <c r="X201" s="13">
        <f t="shared" si="23"/>
        <v>0.0658536585365854</v>
      </c>
      <c r="Y201" s="13">
        <v>0.06567</v>
      </c>
      <c r="Z201" s="13">
        <v>0.429793</v>
      </c>
      <c r="AA201" s="13">
        <v>0.0356</v>
      </c>
      <c r="AB201" s="13">
        <v>4.4464</v>
      </c>
      <c r="AC201" s="13">
        <v>3.1247</v>
      </c>
      <c r="AD201" s="13"/>
      <c r="AE201" s="13">
        <v>-0.055102</v>
      </c>
      <c r="AF201" s="13">
        <v>0.044</v>
      </c>
      <c r="AG201" s="13"/>
      <c r="AH201" s="13" t="e">
        <f t="shared" si="24"/>
        <v>#DIV/0!</v>
      </c>
      <c r="AI201" s="13">
        <v>0.42</v>
      </c>
      <c r="AJ201" s="13">
        <f t="shared" si="25"/>
        <v>0.104761904761905</v>
      </c>
      <c r="AK201" s="13">
        <v>0.093948</v>
      </c>
      <c r="AL201" s="13">
        <v>0.383469</v>
      </c>
      <c r="AM201" s="13">
        <v>0.0527</v>
      </c>
      <c r="AN201" s="13">
        <v>4.9912</v>
      </c>
      <c r="AO201" s="13">
        <v>2.22535283970231</v>
      </c>
      <c r="AP201" s="13"/>
      <c r="AQ201" s="13">
        <v>-0.096105</v>
      </c>
      <c r="AR201" s="13">
        <v>0.046</v>
      </c>
      <c r="AS201" s="13">
        <v>18.1874600752858</v>
      </c>
      <c r="AT201" s="13">
        <f t="shared" si="26"/>
        <v>0.00252921517405872</v>
      </c>
      <c r="AU201" s="13">
        <v>0.46</v>
      </c>
      <c r="AV201" s="13">
        <f t="shared" si="27"/>
        <v>0.1</v>
      </c>
      <c r="AW201" s="13">
        <v>0.093309</v>
      </c>
      <c r="AX201" s="13">
        <v>0.44283</v>
      </c>
      <c r="AY201" s="13">
        <v>0.0485</v>
      </c>
      <c r="AZ201" s="13">
        <v>4.5696</v>
      </c>
      <c r="BA201" s="13">
        <v>0.694233684841656</v>
      </c>
      <c r="BB201" s="13"/>
      <c r="BC201" s="13">
        <v>0.013303</v>
      </c>
    </row>
    <row r="202" spans="1:55">
      <c r="A202" s="8" t="s">
        <v>666</v>
      </c>
      <c r="B202" s="8" t="s">
        <v>667</v>
      </c>
      <c r="C202" s="8" t="s">
        <v>89</v>
      </c>
      <c r="D202" s="9">
        <v>12656</v>
      </c>
      <c r="E202" s="8" t="s">
        <v>132</v>
      </c>
      <c r="F202" s="8" t="s">
        <v>59</v>
      </c>
      <c r="G202" s="10">
        <v>662757008402.98</v>
      </c>
      <c r="H202" s="10">
        <v>2</v>
      </c>
      <c r="I202" s="9">
        <v>1042460291</v>
      </c>
      <c r="J202" s="9">
        <v>7756694797</v>
      </c>
      <c r="K202" s="11">
        <v>83.7428</v>
      </c>
      <c r="L202" s="12">
        <v>43271</v>
      </c>
      <c r="M202" s="12">
        <v>38658</v>
      </c>
      <c r="N202" s="9">
        <f t="shared" si="21"/>
        <v>4613</v>
      </c>
      <c r="O202" s="13">
        <v>35.81</v>
      </c>
      <c r="P202" s="13">
        <v>30.76</v>
      </c>
      <c r="Q202" s="13">
        <v>10.52</v>
      </c>
      <c r="R202" s="8" t="s">
        <v>668</v>
      </c>
      <c r="S202" s="13">
        <v>118395</v>
      </c>
      <c r="T202" s="13">
        <v>0.165</v>
      </c>
      <c r="U202" s="13">
        <v>24.9909</v>
      </c>
      <c r="V202" s="13">
        <f t="shared" si="22"/>
        <v>0.00660240327479202</v>
      </c>
      <c r="W202" s="13">
        <v>0.79</v>
      </c>
      <c r="X202" s="13">
        <f t="shared" si="23"/>
        <v>0.208860759493671</v>
      </c>
      <c r="Y202" s="13">
        <v>0.070834</v>
      </c>
      <c r="Z202" s="13">
        <v>0.342449</v>
      </c>
      <c r="AA202" s="13">
        <v>0.0388</v>
      </c>
      <c r="AB202" s="13">
        <v>5.3405</v>
      </c>
      <c r="AC202" s="13">
        <v>1.3962</v>
      </c>
      <c r="AD202" s="13"/>
      <c r="AE202" s="13">
        <v>-0.090975</v>
      </c>
      <c r="AF202" s="13">
        <v>0.27</v>
      </c>
      <c r="AG202" s="13">
        <v>25.8750938449362</v>
      </c>
      <c r="AH202" s="13">
        <f t="shared" si="24"/>
        <v>0.010434744763364</v>
      </c>
      <c r="AI202" s="13">
        <v>0.86</v>
      </c>
      <c r="AJ202" s="13">
        <f t="shared" si="25"/>
        <v>0.313953488372093</v>
      </c>
      <c r="AK202" s="13">
        <v>0.086758</v>
      </c>
      <c r="AL202" s="13">
        <v>0.272716</v>
      </c>
      <c r="AM202" s="13">
        <v>0.0573</v>
      </c>
      <c r="AN202" s="13">
        <v>5.563</v>
      </c>
      <c r="AO202" s="13">
        <v>1.450743494893</v>
      </c>
      <c r="AP202" s="13"/>
      <c r="AQ202" s="13">
        <v>-0.077223</v>
      </c>
      <c r="AR202" s="13">
        <v>0.25</v>
      </c>
      <c r="AS202" s="13">
        <v>26.0346241412633</v>
      </c>
      <c r="AT202" s="13">
        <f t="shared" si="26"/>
        <v>0.00960259685884096</v>
      </c>
      <c r="AU202" s="13">
        <v>0.78</v>
      </c>
      <c r="AV202" s="13">
        <f t="shared" si="27"/>
        <v>0.32051282051282</v>
      </c>
      <c r="AW202" s="13">
        <v>0.073767</v>
      </c>
      <c r="AX202" s="13">
        <v>0.303199</v>
      </c>
      <c r="AY202" s="13">
        <v>0.045</v>
      </c>
      <c r="AZ202" s="13">
        <v>5.4147</v>
      </c>
      <c r="BA202" s="13">
        <v>-0.862923982420503</v>
      </c>
      <c r="BB202" s="13"/>
      <c r="BC202" s="13">
        <v>-0.156788</v>
      </c>
    </row>
    <row r="203" spans="1:55">
      <c r="A203" s="8" t="s">
        <v>669</v>
      </c>
      <c r="B203" s="8" t="s">
        <v>670</v>
      </c>
      <c r="C203" s="8" t="s">
        <v>89</v>
      </c>
      <c r="D203" s="9">
        <v>14219</v>
      </c>
      <c r="E203" s="8" t="s">
        <v>115</v>
      </c>
      <c r="F203" s="8" t="s">
        <v>59</v>
      </c>
      <c r="G203" s="10">
        <v>1655810228000</v>
      </c>
      <c r="H203" s="10">
        <v>5</v>
      </c>
      <c r="I203" s="9">
        <v>5250356542</v>
      </c>
      <c r="J203" s="9">
        <v>11357000000</v>
      </c>
      <c r="K203" s="11">
        <v>77.822</v>
      </c>
      <c r="L203" s="12">
        <v>43767</v>
      </c>
      <c r="M203" s="12">
        <v>39626</v>
      </c>
      <c r="N203" s="9">
        <f t="shared" si="21"/>
        <v>4141</v>
      </c>
      <c r="O203" s="13">
        <v>22.08</v>
      </c>
      <c r="P203" s="13">
        <v>8.7</v>
      </c>
      <c r="Q203" s="13">
        <v>7.02</v>
      </c>
      <c r="R203" s="8" t="s">
        <v>671</v>
      </c>
      <c r="S203" s="13">
        <v>123765</v>
      </c>
      <c r="T203" s="13">
        <v>0.1102</v>
      </c>
      <c r="U203" s="13">
        <v>5.1026</v>
      </c>
      <c r="V203" s="13">
        <f t="shared" si="22"/>
        <v>0.0215968329871046</v>
      </c>
      <c r="W203" s="13">
        <v>0.99</v>
      </c>
      <c r="X203" s="13">
        <f t="shared" si="23"/>
        <v>0.111313131313131</v>
      </c>
      <c r="Y203" s="13">
        <v>0.090856</v>
      </c>
      <c r="Z203" s="13">
        <v>0.417143</v>
      </c>
      <c r="AA203" s="13">
        <v>0.0191</v>
      </c>
      <c r="AB203" s="13">
        <v>11.6642</v>
      </c>
      <c r="AC203" s="13">
        <v>0.1627</v>
      </c>
      <c r="AD203" s="13"/>
      <c r="AE203" s="13">
        <v>0.010935</v>
      </c>
      <c r="AF203" s="13">
        <v>0.2714</v>
      </c>
      <c r="AG203" s="13">
        <v>3.76914748800932</v>
      </c>
      <c r="AH203" s="13">
        <f t="shared" si="24"/>
        <v>0.0720056725992806</v>
      </c>
      <c r="AI203" s="13">
        <v>0.89</v>
      </c>
      <c r="AJ203" s="13">
        <f t="shared" si="25"/>
        <v>0.304943820224719</v>
      </c>
      <c r="AK203" s="13">
        <v>0.09436</v>
      </c>
      <c r="AL203" s="13">
        <v>0.361421</v>
      </c>
      <c r="AM203" s="13">
        <v>0.0221</v>
      </c>
      <c r="AN203" s="13">
        <v>12.0191</v>
      </c>
      <c r="AO203" s="13">
        <v>2.44565006754229</v>
      </c>
      <c r="AP203" s="13"/>
      <c r="AQ203" s="13">
        <v>-0.060018</v>
      </c>
      <c r="AR203" s="13">
        <v>0.2885</v>
      </c>
      <c r="AS203" s="13">
        <v>3.9281273518823</v>
      </c>
      <c r="AT203" s="13">
        <f t="shared" si="26"/>
        <v>0.0734446656526436</v>
      </c>
      <c r="AU203" s="13">
        <v>0.94</v>
      </c>
      <c r="AV203" s="13">
        <f t="shared" si="27"/>
        <v>0.306914893617021</v>
      </c>
      <c r="AW203" s="13">
        <v>0.092779</v>
      </c>
      <c r="AX203" s="13">
        <v>0.397956</v>
      </c>
      <c r="AY203" s="13">
        <v>0.02</v>
      </c>
      <c r="AZ203" s="13">
        <v>11.884</v>
      </c>
      <c r="BA203" s="13">
        <v>1.411493918766</v>
      </c>
      <c r="BB203" s="13"/>
      <c r="BC203" s="13">
        <v>-0.0357</v>
      </c>
    </row>
    <row r="204" spans="1:55">
      <c r="A204" s="8" t="s">
        <v>672</v>
      </c>
      <c r="B204" s="8" t="s">
        <v>673</v>
      </c>
      <c r="C204" s="8" t="s">
        <v>77</v>
      </c>
      <c r="D204" s="9">
        <v>89929</v>
      </c>
      <c r="E204" s="8" t="s">
        <v>132</v>
      </c>
      <c r="F204" s="8" t="s">
        <v>171</v>
      </c>
      <c r="G204" s="10">
        <v>642876000000</v>
      </c>
      <c r="H204" s="10">
        <v>0</v>
      </c>
      <c r="I204" s="9">
        <v>2678328759</v>
      </c>
      <c r="J204" s="9">
        <v>19868519955</v>
      </c>
      <c r="K204" s="11">
        <v>83.0008</v>
      </c>
      <c r="L204" s="12">
        <v>39364</v>
      </c>
      <c r="M204" s="12">
        <v>38299</v>
      </c>
      <c r="N204" s="9">
        <f t="shared" si="21"/>
        <v>1065</v>
      </c>
      <c r="O204" s="13">
        <v>69.52</v>
      </c>
      <c r="P204" s="13">
        <v>16.96</v>
      </c>
      <c r="Q204" s="13">
        <v>2.99</v>
      </c>
      <c r="R204" s="8" t="s">
        <v>674</v>
      </c>
      <c r="S204" s="13">
        <v>207517</v>
      </c>
      <c r="T204" s="13">
        <v>2.26</v>
      </c>
      <c r="U204" s="13">
        <v>39.9543</v>
      </c>
      <c r="V204" s="13">
        <f t="shared" si="22"/>
        <v>0.0565646250841586</v>
      </c>
      <c r="W204" s="13">
        <v>2.953</v>
      </c>
      <c r="X204" s="13">
        <f t="shared" si="23"/>
        <v>0.765323399932272</v>
      </c>
      <c r="Y204" s="13">
        <v>0.140435</v>
      </c>
      <c r="Z204" s="13">
        <v>0.203517</v>
      </c>
      <c r="AA204" s="13">
        <v>0.5253</v>
      </c>
      <c r="AB204" s="13">
        <v>1.5417</v>
      </c>
      <c r="AC204" s="13">
        <v>0.2759</v>
      </c>
      <c r="AD204" s="13">
        <v>1.7572</v>
      </c>
      <c r="AE204" s="13">
        <v>-0.013697</v>
      </c>
      <c r="AF204" s="13">
        <v>2.55</v>
      </c>
      <c r="AG204" s="13">
        <v>29.0234327138227</v>
      </c>
      <c r="AH204" s="13">
        <f t="shared" si="24"/>
        <v>0.0878600414066644</v>
      </c>
      <c r="AI204" s="13">
        <v>3.504</v>
      </c>
      <c r="AJ204" s="13">
        <f t="shared" si="25"/>
        <v>0.727739726027397</v>
      </c>
      <c r="AK204" s="13">
        <v>0.180676</v>
      </c>
      <c r="AL204" s="13">
        <v>0.237002</v>
      </c>
      <c r="AM204" s="13">
        <v>0.5608</v>
      </c>
      <c r="AN204" s="13">
        <v>1.5943</v>
      </c>
      <c r="AO204" s="13">
        <v>0.318500695143861</v>
      </c>
      <c r="AP204" s="13">
        <v>1.74418722816146</v>
      </c>
      <c r="AQ204" s="13">
        <v>0.026496</v>
      </c>
      <c r="AR204" s="13">
        <v>2.26</v>
      </c>
      <c r="AS204" s="13">
        <v>29.3788212907469</v>
      </c>
      <c r="AT204" s="13">
        <f t="shared" si="26"/>
        <v>0.0769261631579414</v>
      </c>
      <c r="AU204" s="13">
        <v>3.004</v>
      </c>
      <c r="AV204" s="13">
        <f t="shared" si="27"/>
        <v>0.752330226364847</v>
      </c>
      <c r="AW204" s="13">
        <v>0.148762</v>
      </c>
      <c r="AX204" s="13">
        <v>0.202866</v>
      </c>
      <c r="AY204" s="13">
        <v>0.5481</v>
      </c>
      <c r="AZ204" s="13">
        <v>1.5598</v>
      </c>
      <c r="BA204" s="13">
        <v>0.261421734086524</v>
      </c>
      <c r="BB204" s="13">
        <v>1.72483485286892</v>
      </c>
      <c r="BC204" s="13">
        <v>-0.004235</v>
      </c>
    </row>
    <row r="205" spans="1:55">
      <c r="A205" s="8" t="s">
        <v>675</v>
      </c>
      <c r="B205" s="8" t="s">
        <v>676</v>
      </c>
      <c r="C205" s="8" t="s">
        <v>82</v>
      </c>
      <c r="D205" s="9">
        <v>7454</v>
      </c>
      <c r="E205" s="8" t="s">
        <v>83</v>
      </c>
      <c r="F205" s="8" t="s">
        <v>67</v>
      </c>
      <c r="G205" s="10">
        <v>21010377534.78</v>
      </c>
      <c r="H205" s="10">
        <v>0</v>
      </c>
      <c r="I205" s="9">
        <v>478064023</v>
      </c>
      <c r="J205" s="9">
        <v>1340820992</v>
      </c>
      <c r="K205" s="11">
        <v>100</v>
      </c>
      <c r="L205" s="12">
        <v>40844</v>
      </c>
      <c r="M205" s="12">
        <v>38505</v>
      </c>
      <c r="N205" s="9">
        <f t="shared" si="21"/>
        <v>2339</v>
      </c>
      <c r="O205" s="13">
        <v>36.95</v>
      </c>
      <c r="P205" s="13">
        <v>14.103</v>
      </c>
      <c r="Q205" s="13">
        <v>13.29</v>
      </c>
      <c r="R205" s="8"/>
      <c r="S205" s="13">
        <v>36857</v>
      </c>
      <c r="T205" s="13">
        <v>0.7</v>
      </c>
      <c r="U205" s="13">
        <v>53.1653</v>
      </c>
      <c r="V205" s="13">
        <f t="shared" si="22"/>
        <v>0.0131664826493973</v>
      </c>
      <c r="W205" s="13">
        <v>1.87</v>
      </c>
      <c r="X205" s="13">
        <f t="shared" si="23"/>
        <v>0.374331550802139</v>
      </c>
      <c r="Y205" s="13">
        <v>0.166326</v>
      </c>
      <c r="Z205" s="13">
        <v>0.267568</v>
      </c>
      <c r="AA205" s="13">
        <v>0.5003</v>
      </c>
      <c r="AB205" s="13">
        <v>1.2442</v>
      </c>
      <c r="AC205" s="13">
        <v>0.264</v>
      </c>
      <c r="AD205" s="13">
        <v>2.8149</v>
      </c>
      <c r="AE205" s="13">
        <v>0.045082</v>
      </c>
      <c r="AF205" s="13">
        <v>0.62</v>
      </c>
      <c r="AG205" s="13">
        <v>57.9838245858018</v>
      </c>
      <c r="AH205" s="13">
        <f t="shared" si="24"/>
        <v>0.0106926372040629</v>
      </c>
      <c r="AI205" s="13">
        <v>1.79</v>
      </c>
      <c r="AJ205" s="13">
        <f t="shared" si="25"/>
        <v>0.346368715083799</v>
      </c>
      <c r="AK205" s="13">
        <v>0.214676</v>
      </c>
      <c r="AL205" s="13">
        <v>0.286561</v>
      </c>
      <c r="AM205" s="13">
        <v>0.5745</v>
      </c>
      <c r="AN205" s="13">
        <v>1.3073</v>
      </c>
      <c r="AO205" s="13">
        <v>0.251762695334355</v>
      </c>
      <c r="AP205" s="13">
        <v>2.49270218195479</v>
      </c>
      <c r="AQ205" s="13">
        <v>-0.119506</v>
      </c>
      <c r="AR205" s="13">
        <v>0.7</v>
      </c>
      <c r="AS205" s="13">
        <v>62.4494956157904</v>
      </c>
      <c r="AT205" s="13">
        <f t="shared" si="26"/>
        <v>0.0112090577049113</v>
      </c>
      <c r="AU205" s="13">
        <v>1.86</v>
      </c>
      <c r="AV205" s="13">
        <f t="shared" si="27"/>
        <v>0.376344086021505</v>
      </c>
      <c r="AW205" s="13">
        <v>0.184944</v>
      </c>
      <c r="AX205" s="13">
        <v>0.27867</v>
      </c>
      <c r="AY205" s="13">
        <v>0.527</v>
      </c>
      <c r="AZ205" s="13">
        <v>1.2618</v>
      </c>
      <c r="BA205" s="13">
        <v>0.297969304659052</v>
      </c>
      <c r="BB205" s="13">
        <v>2.78500043651112</v>
      </c>
      <c r="BC205" s="13">
        <v>0.096127</v>
      </c>
    </row>
    <row r="206" spans="1:55">
      <c r="A206" s="8" t="s">
        <v>677</v>
      </c>
      <c r="B206" s="8" t="s">
        <v>678</v>
      </c>
      <c r="C206" s="8" t="s">
        <v>77</v>
      </c>
      <c r="D206" s="9">
        <v>104909</v>
      </c>
      <c r="E206" s="8" t="s">
        <v>132</v>
      </c>
      <c r="F206" s="8" t="s">
        <v>184</v>
      </c>
      <c r="G206" s="10">
        <v>349363328000</v>
      </c>
      <c r="H206" s="10">
        <v>0</v>
      </c>
      <c r="I206" s="9">
        <v>3738864707</v>
      </c>
      <c r="J206" s="9">
        <v>17448421000</v>
      </c>
      <c r="K206" s="11">
        <v>66.7001</v>
      </c>
      <c r="L206" s="12">
        <v>38947</v>
      </c>
      <c r="M206" s="12">
        <v>38803</v>
      </c>
      <c r="N206" s="9">
        <f t="shared" si="21"/>
        <v>144</v>
      </c>
      <c r="O206" s="13">
        <v>42.53</v>
      </c>
      <c r="P206" s="13">
        <v>15.09</v>
      </c>
      <c r="Q206" s="13">
        <v>11.18</v>
      </c>
      <c r="R206" s="8" t="s">
        <v>679</v>
      </c>
      <c r="S206" s="13">
        <v>129056</v>
      </c>
      <c r="T206" s="13"/>
      <c r="U206" s="13">
        <v>7.4724</v>
      </c>
      <c r="V206" s="13">
        <f t="shared" si="22"/>
        <v>0</v>
      </c>
      <c r="W206" s="13">
        <v>-0.01</v>
      </c>
      <c r="X206" s="13">
        <f t="shared" si="23"/>
        <v>0</v>
      </c>
      <c r="Y206" s="13">
        <v>-0.005761</v>
      </c>
      <c r="Z206" s="13">
        <v>-0.014698</v>
      </c>
      <c r="AA206" s="13">
        <v>0.4895</v>
      </c>
      <c r="AB206" s="13">
        <v>8.2677</v>
      </c>
      <c r="AC206" s="13">
        <v>0.2072</v>
      </c>
      <c r="AD206" s="13">
        <v>0.1636</v>
      </c>
      <c r="AE206" s="13">
        <v>0.181422</v>
      </c>
      <c r="AF206" s="13"/>
      <c r="AG206" s="13">
        <v>10.0893587754193</v>
      </c>
      <c r="AH206" s="13">
        <f t="shared" si="24"/>
        <v>0</v>
      </c>
      <c r="AI206" s="13">
        <v>-2.81</v>
      </c>
      <c r="AJ206" s="13">
        <f t="shared" si="25"/>
        <v>0</v>
      </c>
      <c r="AK206" s="13">
        <v>-0.90857</v>
      </c>
      <c r="AL206" s="13">
        <v>-0.854026</v>
      </c>
      <c r="AM206" s="13">
        <v>0.1783</v>
      </c>
      <c r="AN206" s="13">
        <v>6.9805</v>
      </c>
      <c r="AO206" s="13">
        <v>-0.316877553424746</v>
      </c>
      <c r="AP206" s="13">
        <v>0.123772006948593</v>
      </c>
      <c r="AQ206" s="13">
        <v>-0.290267</v>
      </c>
      <c r="AR206" s="13"/>
      <c r="AS206" s="13">
        <v>9.19152631748525</v>
      </c>
      <c r="AT206" s="13">
        <f t="shared" si="26"/>
        <v>0</v>
      </c>
      <c r="AU206" s="13">
        <v>-0.07</v>
      </c>
      <c r="AV206" s="13">
        <f t="shared" si="27"/>
        <v>0</v>
      </c>
      <c r="AW206" s="13">
        <v>-0.034398</v>
      </c>
      <c r="AX206" s="13">
        <v>-0.011121</v>
      </c>
      <c r="AY206" s="13">
        <v>0.4477</v>
      </c>
      <c r="AZ206" s="13">
        <v>10.3603</v>
      </c>
      <c r="BA206" s="13">
        <v>0.251016380313019</v>
      </c>
      <c r="BB206" s="13">
        <v>0.141723969720282</v>
      </c>
      <c r="BC206" s="13">
        <v>1.667423</v>
      </c>
    </row>
    <row r="207" spans="1:55">
      <c r="A207" s="8" t="s">
        <v>680</v>
      </c>
      <c r="B207" s="8" t="s">
        <v>681</v>
      </c>
      <c r="C207" s="8" t="s">
        <v>77</v>
      </c>
      <c r="D207" s="9">
        <v>51001</v>
      </c>
      <c r="E207" s="8" t="s">
        <v>132</v>
      </c>
      <c r="F207" s="8" t="s">
        <v>458</v>
      </c>
      <c r="G207" s="10">
        <v>242597745616.56</v>
      </c>
      <c r="H207" s="10">
        <v>0</v>
      </c>
      <c r="I207" s="9">
        <v>3450544487</v>
      </c>
      <c r="J207" s="9">
        <v>6106877362</v>
      </c>
      <c r="K207" s="11">
        <v>99.692</v>
      </c>
      <c r="L207" s="12">
        <v>40185</v>
      </c>
      <c r="M207" s="12">
        <v>39714</v>
      </c>
      <c r="N207" s="9">
        <f t="shared" si="21"/>
        <v>471</v>
      </c>
      <c r="O207" s="13">
        <v>40.6898</v>
      </c>
      <c r="P207" s="13"/>
      <c r="Q207" s="13"/>
      <c r="R207" s="8"/>
      <c r="S207" s="13">
        <v>111241</v>
      </c>
      <c r="T207" s="13">
        <v>0.186</v>
      </c>
      <c r="U207" s="13">
        <v>7.4918</v>
      </c>
      <c r="V207" s="13">
        <f t="shared" si="22"/>
        <v>0.0248271443444833</v>
      </c>
      <c r="W207" s="13">
        <v>0.93</v>
      </c>
      <c r="X207" s="13">
        <f t="shared" si="23"/>
        <v>0.2</v>
      </c>
      <c r="Y207" s="13">
        <v>0.09498</v>
      </c>
      <c r="Z207" s="13">
        <v>0.033448</v>
      </c>
      <c r="AA207" s="13">
        <v>0.8247</v>
      </c>
      <c r="AB207" s="13">
        <v>3.7784</v>
      </c>
      <c r="AC207" s="13">
        <v>0.0469</v>
      </c>
      <c r="AD207" s="13">
        <v>0.3604</v>
      </c>
      <c r="AE207" s="13">
        <v>0.041391</v>
      </c>
      <c r="AF207" s="13">
        <v>0.177</v>
      </c>
      <c r="AG207" s="13">
        <v>9.37506789451444</v>
      </c>
      <c r="AH207" s="13">
        <f t="shared" si="24"/>
        <v>0.0188798632704907</v>
      </c>
      <c r="AI207" s="13">
        <v>0.89</v>
      </c>
      <c r="AJ207" s="13">
        <f t="shared" si="25"/>
        <v>0.198876404494382</v>
      </c>
      <c r="AK207" s="13">
        <v>0.107138</v>
      </c>
      <c r="AL207" s="13">
        <v>0.036468</v>
      </c>
      <c r="AM207" s="13">
        <v>0.8508</v>
      </c>
      <c r="AN207" s="13">
        <v>3.6845</v>
      </c>
      <c r="AO207" s="13">
        <v>0.00946499962915582</v>
      </c>
      <c r="AP207" s="13">
        <v>0.405938254013165</v>
      </c>
      <c r="AQ207" s="13">
        <v>0.148773</v>
      </c>
      <c r="AR207" s="13">
        <v>0.178</v>
      </c>
      <c r="AS207" s="13">
        <v>8.81303116129899</v>
      </c>
      <c r="AT207" s="13">
        <f t="shared" si="26"/>
        <v>0.0201973641919773</v>
      </c>
      <c r="AU207" s="13">
        <v>0.89</v>
      </c>
      <c r="AV207" s="13">
        <f t="shared" si="27"/>
        <v>0.2</v>
      </c>
      <c r="AW207" s="13">
        <v>0.098313</v>
      </c>
      <c r="AX207" s="13">
        <v>0.033323</v>
      </c>
      <c r="AY207" s="13">
        <v>0.8663</v>
      </c>
      <c r="AZ207" s="13">
        <v>3.7476</v>
      </c>
      <c r="BA207" s="13">
        <v>0.0509722591896057</v>
      </c>
      <c r="BB207" s="13">
        <v>0.405216971448417</v>
      </c>
      <c r="BC207" s="13">
        <v>0.131022</v>
      </c>
    </row>
    <row r="208" spans="1:55">
      <c r="A208" s="8" t="s">
        <v>682</v>
      </c>
      <c r="B208" s="8" t="s">
        <v>683</v>
      </c>
      <c r="C208" s="8" t="s">
        <v>82</v>
      </c>
      <c r="D208" s="9">
        <v>18838</v>
      </c>
      <c r="E208" s="8" t="s">
        <v>115</v>
      </c>
      <c r="F208" s="8" t="s">
        <v>67</v>
      </c>
      <c r="G208" s="10">
        <v>121505895204.3</v>
      </c>
      <c r="H208" s="10">
        <v>2</v>
      </c>
      <c r="I208" s="9">
        <v>715806827</v>
      </c>
      <c r="J208" s="9">
        <v>1741985086</v>
      </c>
      <c r="K208" s="11">
        <v>86.6702</v>
      </c>
      <c r="L208" s="12">
        <v>42536</v>
      </c>
      <c r="M208" s="12">
        <v>39213</v>
      </c>
      <c r="N208" s="9">
        <f t="shared" si="21"/>
        <v>3323</v>
      </c>
      <c r="O208" s="13">
        <v>24.52</v>
      </c>
      <c r="P208" s="13">
        <v>20.04</v>
      </c>
      <c r="Q208" s="13">
        <v>4.05</v>
      </c>
      <c r="R208" s="8" t="s">
        <v>684</v>
      </c>
      <c r="S208" s="13">
        <v>192577</v>
      </c>
      <c r="T208" s="13">
        <v>0.97</v>
      </c>
      <c r="U208" s="13">
        <v>94.209</v>
      </c>
      <c r="V208" s="13">
        <f t="shared" si="22"/>
        <v>0.0102962561963294</v>
      </c>
      <c r="W208" s="13">
        <v>3.94</v>
      </c>
      <c r="X208" s="13">
        <f t="shared" si="23"/>
        <v>0.246192893401015</v>
      </c>
      <c r="Y208" s="13">
        <v>0.502402</v>
      </c>
      <c r="Z208" s="13">
        <v>0.032651</v>
      </c>
      <c r="AA208" s="13">
        <v>1.9941</v>
      </c>
      <c r="AB208" s="13">
        <v>6.1516</v>
      </c>
      <c r="AC208" s="13">
        <v>0.1551</v>
      </c>
      <c r="AD208" s="13">
        <v>0.6557</v>
      </c>
      <c r="AE208" s="13">
        <v>3.050443</v>
      </c>
      <c r="AF208" s="13"/>
      <c r="AG208" s="13">
        <v>57.8058983541442</v>
      </c>
      <c r="AH208" s="13">
        <f t="shared" si="24"/>
        <v>0</v>
      </c>
      <c r="AI208" s="13">
        <v>-2.68</v>
      </c>
      <c r="AJ208" s="13">
        <f t="shared" si="25"/>
        <v>0</v>
      </c>
      <c r="AK208" s="13">
        <v>-0.39546</v>
      </c>
      <c r="AL208" s="13">
        <v>-0.153073</v>
      </c>
      <c r="AM208" s="13">
        <v>0.8626</v>
      </c>
      <c r="AN208" s="13">
        <v>4.0802</v>
      </c>
      <c r="AO208" s="13">
        <v>-0.0342630734840352</v>
      </c>
      <c r="AP208" s="13">
        <v>0.560330977967158</v>
      </c>
      <c r="AQ208" s="13">
        <v>1.040026</v>
      </c>
      <c r="AR208" s="13"/>
      <c r="AS208" s="13">
        <v>55.4950405819859</v>
      </c>
      <c r="AT208" s="13">
        <f t="shared" si="26"/>
        <v>0</v>
      </c>
      <c r="AU208" s="13">
        <v>-1.63</v>
      </c>
      <c r="AV208" s="13">
        <f t="shared" si="27"/>
        <v>0</v>
      </c>
      <c r="AW208" s="13">
        <v>-0.214645</v>
      </c>
      <c r="AX208" s="13">
        <v>-0.115973</v>
      </c>
      <c r="AY208" s="13">
        <v>0.7293</v>
      </c>
      <c r="AZ208" s="13">
        <v>4.3062</v>
      </c>
      <c r="BA208" s="13">
        <v>0.178495037700612</v>
      </c>
      <c r="BB208" s="13">
        <v>0.380421097744713</v>
      </c>
      <c r="BC208" s="13">
        <v>0.05093</v>
      </c>
    </row>
    <row r="209" spans="1:55">
      <c r="A209" s="8" t="s">
        <v>685</v>
      </c>
      <c r="B209" s="8" t="s">
        <v>686</v>
      </c>
      <c r="C209" s="8" t="s">
        <v>89</v>
      </c>
      <c r="D209" s="9">
        <v>1641</v>
      </c>
      <c r="E209" s="8" t="s">
        <v>132</v>
      </c>
      <c r="F209" s="8" t="s">
        <v>59</v>
      </c>
      <c r="G209" s="10">
        <v>53179690905.47</v>
      </c>
      <c r="H209" s="10">
        <v>0</v>
      </c>
      <c r="I209" s="9">
        <v>481483800</v>
      </c>
      <c r="J209" s="9">
        <v>2733333800</v>
      </c>
      <c r="K209" s="11">
        <v>17.6153</v>
      </c>
      <c r="L209" s="12">
        <v>44917</v>
      </c>
      <c r="M209" s="12">
        <v>36559</v>
      </c>
      <c r="N209" s="9">
        <f t="shared" si="21"/>
        <v>8358</v>
      </c>
      <c r="O209" s="13">
        <v>56.77</v>
      </c>
      <c r="P209" s="13">
        <v>17.31</v>
      </c>
      <c r="Q209" s="13">
        <v>8.31</v>
      </c>
      <c r="R209" s="8" t="s">
        <v>687</v>
      </c>
      <c r="S209" s="13">
        <v>86302</v>
      </c>
      <c r="T209" s="13">
        <v>0.095</v>
      </c>
      <c r="U209" s="13">
        <v>21.0965</v>
      </c>
      <c r="V209" s="13">
        <f t="shared" si="22"/>
        <v>0.00450311663072074</v>
      </c>
      <c r="W209" s="13">
        <v>0.36</v>
      </c>
      <c r="X209" s="13">
        <f t="shared" si="23"/>
        <v>0.263888888888889</v>
      </c>
      <c r="Y209" s="13">
        <v>0.077016</v>
      </c>
      <c r="Z209" s="13">
        <v>0.407494</v>
      </c>
      <c r="AA209" s="13">
        <v>0.0537</v>
      </c>
      <c r="AB209" s="13">
        <v>3.5212</v>
      </c>
      <c r="AC209" s="13">
        <v>0.1711</v>
      </c>
      <c r="AD209" s="13"/>
      <c r="AE209" s="13">
        <v>0.254853</v>
      </c>
      <c r="AF209" s="13">
        <v>0.185</v>
      </c>
      <c r="AG209" s="13">
        <v>15.6460678608521</v>
      </c>
      <c r="AH209" s="13">
        <f t="shared" si="24"/>
        <v>0.0118240571142406</v>
      </c>
      <c r="AI209" s="13">
        <v>0.23</v>
      </c>
      <c r="AJ209" s="13">
        <f t="shared" si="25"/>
        <v>0.804347826086956</v>
      </c>
      <c r="AK209" s="13">
        <v>0.050754</v>
      </c>
      <c r="AL209" s="13">
        <v>0.348593</v>
      </c>
      <c r="AM209" s="13">
        <v>0.0439</v>
      </c>
      <c r="AN209" s="13">
        <v>3.3162</v>
      </c>
      <c r="AO209" s="13">
        <v>0.462281509055174</v>
      </c>
      <c r="AP209" s="13"/>
      <c r="AQ209" s="13">
        <v>-0.248705</v>
      </c>
      <c r="AR209" s="13">
        <v>0.1</v>
      </c>
      <c r="AS209" s="13">
        <v>19.9797550690366</v>
      </c>
      <c r="AT209" s="13">
        <f t="shared" si="26"/>
        <v>0.00500506636114743</v>
      </c>
      <c r="AU209" s="13">
        <v>0.26</v>
      </c>
      <c r="AV209" s="13">
        <f t="shared" si="27"/>
        <v>0.384615384615385</v>
      </c>
      <c r="AW209" s="13">
        <v>0.05736</v>
      </c>
      <c r="AX209" s="13">
        <v>0.363908</v>
      </c>
      <c r="AY209" s="13">
        <v>0.0465</v>
      </c>
      <c r="AZ209" s="13">
        <v>3.3928</v>
      </c>
      <c r="BA209" s="13">
        <v>-0.345272027248636</v>
      </c>
      <c r="BB209" s="13"/>
      <c r="BC209" s="13">
        <v>0.21332</v>
      </c>
    </row>
    <row r="210" spans="1:55">
      <c r="A210" s="8" t="s">
        <v>688</v>
      </c>
      <c r="B210" s="8" t="s">
        <v>689</v>
      </c>
      <c r="C210" s="8" t="s">
        <v>57</v>
      </c>
      <c r="D210" s="9">
        <v>202818</v>
      </c>
      <c r="E210" s="8" t="s">
        <v>58</v>
      </c>
      <c r="F210" s="8" t="s">
        <v>67</v>
      </c>
      <c r="G210" s="10">
        <v>447338382000</v>
      </c>
      <c r="H210" s="10">
        <v>3</v>
      </c>
      <c r="I210" s="9">
        <v>3231000234</v>
      </c>
      <c r="J210" s="9">
        <v>19858183781</v>
      </c>
      <c r="K210" s="11">
        <v>100</v>
      </c>
      <c r="L210" s="12">
        <v>43259</v>
      </c>
      <c r="M210" s="12">
        <v>42069</v>
      </c>
      <c r="N210" s="9">
        <f t="shared" si="21"/>
        <v>1190</v>
      </c>
      <c r="O210" s="13">
        <v>36.726</v>
      </c>
      <c r="P210" s="13">
        <v>21.9793</v>
      </c>
      <c r="Q210" s="13">
        <v>9.5792</v>
      </c>
      <c r="R210" s="8" t="s">
        <v>690</v>
      </c>
      <c r="S210" s="13">
        <v>476358</v>
      </c>
      <c r="T210" s="13">
        <v>0.64</v>
      </c>
      <c r="U210" s="13">
        <v>22.5097</v>
      </c>
      <c r="V210" s="13">
        <f t="shared" si="22"/>
        <v>0.0284321870127101</v>
      </c>
      <c r="W210" s="13">
        <v>1.17</v>
      </c>
      <c r="X210" s="13">
        <f t="shared" si="23"/>
        <v>0.547008547008547</v>
      </c>
      <c r="Y210" s="13">
        <v>0.15854</v>
      </c>
      <c r="Z210" s="13">
        <v>0.038177</v>
      </c>
      <c r="AA210" s="13">
        <v>2.0129</v>
      </c>
      <c r="AB210" s="13">
        <v>2.0665</v>
      </c>
      <c r="AC210" s="13">
        <v>0.0391</v>
      </c>
      <c r="AD210" s="13">
        <v>0.4575</v>
      </c>
      <c r="AE210" s="13">
        <v>0.278783</v>
      </c>
      <c r="AF210" s="13">
        <v>0.55</v>
      </c>
      <c r="AG210" s="13">
        <v>9.8543830770134</v>
      </c>
      <c r="AH210" s="13">
        <f t="shared" si="24"/>
        <v>0.0558127277681081</v>
      </c>
      <c r="AI210" s="13">
        <v>1.02</v>
      </c>
      <c r="AJ210" s="13">
        <f t="shared" si="25"/>
        <v>0.53921568627451</v>
      </c>
      <c r="AK210" s="13">
        <v>0.161778</v>
      </c>
      <c r="AL210" s="13">
        <v>0.039238</v>
      </c>
      <c r="AM210" s="13">
        <v>1.8586</v>
      </c>
      <c r="AN210" s="13">
        <v>2.2196</v>
      </c>
      <c r="AO210" s="13">
        <v>0.0300198097847805</v>
      </c>
      <c r="AP210" s="13">
        <v>0.465536641684003</v>
      </c>
      <c r="AQ210" s="13">
        <v>0.164466</v>
      </c>
      <c r="AR210" s="13">
        <v>0.58</v>
      </c>
      <c r="AS210" s="13">
        <v>18.0247560851322</v>
      </c>
      <c r="AT210" s="13">
        <f t="shared" si="26"/>
        <v>0.0321779666399156</v>
      </c>
      <c r="AU210" s="13">
        <v>1.06</v>
      </c>
      <c r="AV210" s="13">
        <f t="shared" si="27"/>
        <v>0.547169811320755</v>
      </c>
      <c r="AW210" s="13">
        <v>0.156338</v>
      </c>
      <c r="AX210" s="13">
        <v>0.044125</v>
      </c>
      <c r="AY210" s="13">
        <v>1.6658</v>
      </c>
      <c r="AZ210" s="13">
        <v>2.1247</v>
      </c>
      <c r="BA210" s="13">
        <v>0.0904474100896988</v>
      </c>
      <c r="BB210" s="13">
        <v>0.607071925576707</v>
      </c>
      <c r="BC210" s="13">
        <v>-0.069375</v>
      </c>
    </row>
    <row r="211" spans="1:55">
      <c r="A211" s="8" t="s">
        <v>691</v>
      </c>
      <c r="B211" s="8" t="s">
        <v>692</v>
      </c>
      <c r="C211" s="8" t="s">
        <v>89</v>
      </c>
      <c r="D211" s="9">
        <v>68272</v>
      </c>
      <c r="E211" s="8" t="s">
        <v>370</v>
      </c>
      <c r="F211" s="8" t="s">
        <v>59</v>
      </c>
      <c r="G211" s="10">
        <v>10673253000000</v>
      </c>
      <c r="H211" s="10">
        <v>0</v>
      </c>
      <c r="I211" s="9">
        <v>15125010618</v>
      </c>
      <c r="J211" s="9">
        <v>21162851947</v>
      </c>
      <c r="K211" s="11">
        <v>100</v>
      </c>
      <c r="L211" s="12">
        <v>39118</v>
      </c>
      <c r="M211" s="12">
        <v>32377</v>
      </c>
      <c r="N211" s="9">
        <f t="shared" si="21"/>
        <v>6741</v>
      </c>
      <c r="O211" s="13">
        <v>16.59</v>
      </c>
      <c r="P211" s="13">
        <v>5.25</v>
      </c>
      <c r="Q211" s="13">
        <v>4.48</v>
      </c>
      <c r="R211" s="8" t="s">
        <v>693</v>
      </c>
      <c r="S211" s="13">
        <v>217901</v>
      </c>
      <c r="T211" s="13">
        <v>1.06</v>
      </c>
      <c r="U211" s="13">
        <v>17.2638</v>
      </c>
      <c r="V211" s="13">
        <f t="shared" si="22"/>
        <v>0.0614001552381283</v>
      </c>
      <c r="W211" s="13">
        <v>3.51</v>
      </c>
      <c r="X211" s="13">
        <f t="shared" si="23"/>
        <v>0.301994301994302</v>
      </c>
      <c r="Y211" s="13">
        <v>0.092013</v>
      </c>
      <c r="Z211" s="13">
        <v>0.365134</v>
      </c>
      <c r="AA211" s="13">
        <v>0.0205</v>
      </c>
      <c r="AB211" s="13">
        <v>12.315</v>
      </c>
      <c r="AC211" s="13">
        <v>-1.1179</v>
      </c>
      <c r="AD211" s="13"/>
      <c r="AE211" s="13">
        <v>0.006617</v>
      </c>
      <c r="AF211" s="13">
        <v>1.188</v>
      </c>
      <c r="AG211" s="13">
        <v>19.3158178042757</v>
      </c>
      <c r="AH211" s="13">
        <f t="shared" si="24"/>
        <v>0.0615039969851562</v>
      </c>
      <c r="AI211" s="13">
        <v>4.2</v>
      </c>
      <c r="AJ211" s="13">
        <f t="shared" si="25"/>
        <v>0.282857142857143</v>
      </c>
      <c r="AK211" s="13">
        <v>0.127773</v>
      </c>
      <c r="AL211" s="13">
        <v>0.415579</v>
      </c>
      <c r="AM211" s="13">
        <v>0.0249</v>
      </c>
      <c r="AN211" s="13">
        <v>12.4937</v>
      </c>
      <c r="AO211" s="13">
        <v>-1.54958313471899</v>
      </c>
      <c r="AP211" s="13"/>
      <c r="AQ211" s="13">
        <v>0.005144</v>
      </c>
      <c r="AR211" s="13">
        <v>1.04</v>
      </c>
      <c r="AS211" s="13">
        <v>16.4751758949527</v>
      </c>
      <c r="AT211" s="13">
        <f t="shared" si="26"/>
        <v>0.0631252744511585</v>
      </c>
      <c r="AU211" s="13">
        <v>3.51</v>
      </c>
      <c r="AV211" s="13">
        <f t="shared" si="27"/>
        <v>0.296296296296296</v>
      </c>
      <c r="AW211" s="13">
        <v>0.099994</v>
      </c>
      <c r="AX211" s="13">
        <v>0.368323</v>
      </c>
      <c r="AY211" s="13">
        <v>0.0217</v>
      </c>
      <c r="AZ211" s="13">
        <v>12.5939</v>
      </c>
      <c r="BA211" s="13">
        <v>2.05670418486845</v>
      </c>
      <c r="BB211" s="13"/>
      <c r="BC211" s="13">
        <v>-0.051908</v>
      </c>
    </row>
    <row r="212" spans="1:55">
      <c r="A212" s="8" t="s">
        <v>694</v>
      </c>
      <c r="B212" s="8" t="s">
        <v>695</v>
      </c>
      <c r="C212" s="8" t="s">
        <v>89</v>
      </c>
      <c r="D212" s="9">
        <v>19919</v>
      </c>
      <c r="E212" s="8" t="s">
        <v>132</v>
      </c>
      <c r="F212" s="8" t="s">
        <v>59</v>
      </c>
      <c r="G212" s="10">
        <v>4892227000000</v>
      </c>
      <c r="H212" s="10">
        <v>0</v>
      </c>
      <c r="I212" s="9">
        <v>14630374002</v>
      </c>
      <c r="J212" s="9">
        <v>21142984272</v>
      </c>
      <c r="K212" s="11">
        <v>100</v>
      </c>
      <c r="L212" s="12">
        <v>39344</v>
      </c>
      <c r="M212" s="12">
        <v>35093</v>
      </c>
      <c r="N212" s="9">
        <f t="shared" si="21"/>
        <v>4251</v>
      </c>
      <c r="O212" s="13">
        <v>13.03</v>
      </c>
      <c r="P212" s="13">
        <v>9.19</v>
      </c>
      <c r="Q212" s="13">
        <v>8.59</v>
      </c>
      <c r="R212" s="8" t="s">
        <v>696</v>
      </c>
      <c r="S212" s="13">
        <v>183025</v>
      </c>
      <c r="T212" s="13">
        <v>0.2</v>
      </c>
      <c r="U212" s="13">
        <v>5.525</v>
      </c>
      <c r="V212" s="13">
        <f t="shared" si="22"/>
        <v>0.0361990950226244</v>
      </c>
      <c r="W212" s="13">
        <v>1.07</v>
      </c>
      <c r="X212" s="13">
        <f t="shared" si="23"/>
        <v>0.186915887850467</v>
      </c>
      <c r="Y212" s="13">
        <v>0.075531</v>
      </c>
      <c r="Z212" s="13">
        <v>0.370296</v>
      </c>
      <c r="AA212" s="13">
        <v>0.0175</v>
      </c>
      <c r="AB212" s="13">
        <v>11.6526</v>
      </c>
      <c r="AC212" s="13">
        <v>1.8529</v>
      </c>
      <c r="AD212" s="13"/>
      <c r="AE212" s="13">
        <v>0.048058</v>
      </c>
      <c r="AF212" s="13">
        <v>0.31</v>
      </c>
      <c r="AG212" s="13">
        <v>4.40286722002414</v>
      </c>
      <c r="AH212" s="13">
        <f t="shared" si="24"/>
        <v>0.0704086642881546</v>
      </c>
      <c r="AI212" s="13">
        <v>1.02</v>
      </c>
      <c r="AJ212" s="13">
        <f t="shared" si="25"/>
        <v>0.303921568627451</v>
      </c>
      <c r="AK212" s="13">
        <v>0.082051</v>
      </c>
      <c r="AL212" s="13">
        <v>0.376154</v>
      </c>
      <c r="AM212" s="13">
        <v>0.0206</v>
      </c>
      <c r="AN212" s="13">
        <v>10.6821</v>
      </c>
      <c r="AO212" s="13">
        <v>1.90177439797212</v>
      </c>
      <c r="AP212" s="13"/>
      <c r="AQ212" s="13">
        <v>1.5e-5</v>
      </c>
      <c r="AR212" s="13">
        <v>0.32</v>
      </c>
      <c r="AS212" s="13">
        <v>4.57274755072944</v>
      </c>
      <c r="AT212" s="13">
        <f t="shared" si="26"/>
        <v>0.0699798089551114</v>
      </c>
      <c r="AU212" s="13">
        <v>1.06</v>
      </c>
      <c r="AV212" s="13">
        <f t="shared" si="27"/>
        <v>0.30188679245283</v>
      </c>
      <c r="AW212" s="13">
        <v>0.080656</v>
      </c>
      <c r="AX212" s="13">
        <v>0.385723</v>
      </c>
      <c r="AY212" s="13">
        <v>0.0187</v>
      </c>
      <c r="AZ212" s="13">
        <v>11.2319</v>
      </c>
      <c r="BA212" s="13">
        <v>0.629251547720766</v>
      </c>
      <c r="BB212" s="13"/>
      <c r="BC212" s="13">
        <v>0.006563</v>
      </c>
    </row>
    <row r="213" spans="1:55">
      <c r="A213" s="8" t="s">
        <v>697</v>
      </c>
      <c r="B213" s="8" t="s">
        <v>698</v>
      </c>
      <c r="C213" s="8" t="s">
        <v>77</v>
      </c>
      <c r="D213" s="9">
        <v>264045</v>
      </c>
      <c r="E213" s="8" t="s">
        <v>132</v>
      </c>
      <c r="F213" s="8" t="s">
        <v>458</v>
      </c>
      <c r="G213" s="10">
        <v>2066069527000</v>
      </c>
      <c r="H213" s="10">
        <v>0</v>
      </c>
      <c r="I213" s="9">
        <v>4546928910</v>
      </c>
      <c r="J213" s="9">
        <v>13579541500</v>
      </c>
      <c r="K213" s="11">
        <v>84.7101</v>
      </c>
      <c r="L213" s="12">
        <v>39517</v>
      </c>
      <c r="M213" s="12">
        <v>39391</v>
      </c>
      <c r="N213" s="9">
        <f t="shared" si="21"/>
        <v>126</v>
      </c>
      <c r="O213" s="13">
        <v>51.23</v>
      </c>
      <c r="P213" s="13">
        <v>15.19</v>
      </c>
      <c r="Q213" s="13">
        <v>2.38</v>
      </c>
      <c r="R213" s="8" t="s">
        <v>299</v>
      </c>
      <c r="S213" s="13">
        <v>243034</v>
      </c>
      <c r="T213" s="13">
        <v>0.3</v>
      </c>
      <c r="U213" s="13">
        <v>8.7363</v>
      </c>
      <c r="V213" s="13">
        <f t="shared" si="22"/>
        <v>0.0343394801002713</v>
      </c>
      <c r="W213" s="13">
        <v>1.46</v>
      </c>
      <c r="X213" s="13">
        <f t="shared" si="23"/>
        <v>0.205479452054795</v>
      </c>
      <c r="Y213" s="13">
        <v>0.06963</v>
      </c>
      <c r="Z213" s="13">
        <v>0.025374</v>
      </c>
      <c r="AA213" s="13">
        <v>0.6053</v>
      </c>
      <c r="AB213" s="13">
        <v>5.5257</v>
      </c>
      <c r="AC213" s="13">
        <v>-0.0294</v>
      </c>
      <c r="AD213" s="13">
        <v>0.1712</v>
      </c>
      <c r="AE213" s="13">
        <v>-0.062234</v>
      </c>
      <c r="AF213" s="13">
        <v>0.28</v>
      </c>
      <c r="AG213" s="13">
        <v>8.01077315641814</v>
      </c>
      <c r="AH213" s="13">
        <f t="shared" si="24"/>
        <v>0.0349529308261172</v>
      </c>
      <c r="AI213" s="13">
        <v>1.76</v>
      </c>
      <c r="AJ213" s="13">
        <f t="shared" si="25"/>
        <v>0.159090909090909</v>
      </c>
      <c r="AK213" s="13">
        <v>0.095274</v>
      </c>
      <c r="AL213" s="13">
        <v>0.028963</v>
      </c>
      <c r="AM213" s="13">
        <v>0.7621</v>
      </c>
      <c r="AN213" s="13">
        <v>5.144</v>
      </c>
      <c r="AO213" s="13">
        <v>0.0512034052410697</v>
      </c>
      <c r="AP213" s="13">
        <v>0.179621650701777</v>
      </c>
      <c r="AQ213" s="13">
        <v>0.074806</v>
      </c>
      <c r="AR213" s="13">
        <v>0.35</v>
      </c>
      <c r="AS213" s="13">
        <v>9.62192169725853</v>
      </c>
      <c r="AT213" s="13">
        <f t="shared" si="26"/>
        <v>0.0363752700356855</v>
      </c>
      <c r="AU213" s="13">
        <v>1.73</v>
      </c>
      <c r="AV213" s="13">
        <f t="shared" si="27"/>
        <v>0.202312138728324</v>
      </c>
      <c r="AW213" s="13">
        <v>0.086943</v>
      </c>
      <c r="AX213" s="13">
        <v>0.028409</v>
      </c>
      <c r="AY213" s="13">
        <v>0.7142</v>
      </c>
      <c r="AZ213" s="13">
        <v>5.3088</v>
      </c>
      <c r="BA213" s="13">
        <v>0.0179368759585325</v>
      </c>
      <c r="BB213" s="13">
        <v>0.17215193905828</v>
      </c>
      <c r="BC213" s="13">
        <v>0.038019</v>
      </c>
    </row>
    <row r="214" spans="1:55">
      <c r="A214" s="8" t="s">
        <v>699</v>
      </c>
      <c r="B214" s="8" t="s">
        <v>700</v>
      </c>
      <c r="C214" s="8" t="s">
        <v>89</v>
      </c>
      <c r="D214" s="9">
        <v>27190</v>
      </c>
      <c r="E214" s="8" t="s">
        <v>198</v>
      </c>
      <c r="F214" s="8" t="s">
        <v>59</v>
      </c>
      <c r="G214" s="10">
        <v>2008925905780</v>
      </c>
      <c r="H214" s="10">
        <v>0</v>
      </c>
      <c r="I214" s="9">
        <v>10910813756</v>
      </c>
      <c r="J214" s="9">
        <v>17628925829</v>
      </c>
      <c r="K214" s="11">
        <v>76.5446</v>
      </c>
      <c r="L214" s="12">
        <v>42181</v>
      </c>
      <c r="M214" s="12">
        <v>36390</v>
      </c>
      <c r="N214" s="9">
        <f t="shared" si="21"/>
        <v>5791</v>
      </c>
      <c r="O214" s="13">
        <v>19.88</v>
      </c>
      <c r="P214" s="13">
        <v>14.34</v>
      </c>
      <c r="Q214" s="13">
        <v>3.87</v>
      </c>
      <c r="R214" s="8" t="s">
        <v>701</v>
      </c>
      <c r="S214" s="13">
        <v>359102</v>
      </c>
      <c r="T214" s="13">
        <v>0.28</v>
      </c>
      <c r="U214" s="13">
        <v>16.9277</v>
      </c>
      <c r="V214" s="13">
        <f t="shared" si="22"/>
        <v>0.0165409358625212</v>
      </c>
      <c r="W214" s="13">
        <v>1.39</v>
      </c>
      <c r="X214" s="13">
        <f t="shared" si="23"/>
        <v>0.201438848920863</v>
      </c>
      <c r="Y214" s="13">
        <v>0.077124</v>
      </c>
      <c r="Z214" s="13">
        <v>0.312204</v>
      </c>
      <c r="AA214" s="13">
        <v>0.044</v>
      </c>
      <c r="AB214" s="13">
        <v>5.8421</v>
      </c>
      <c r="AC214" s="13">
        <v>1.2928</v>
      </c>
      <c r="AD214" s="13"/>
      <c r="AE214" s="13">
        <v>0.200763</v>
      </c>
      <c r="AF214" s="13">
        <v>0.53</v>
      </c>
      <c r="AG214" s="13">
        <v>15.4096112692317</v>
      </c>
      <c r="AH214" s="13">
        <f t="shared" si="24"/>
        <v>0.0343941187574438</v>
      </c>
      <c r="AI214" s="13">
        <v>1.24</v>
      </c>
      <c r="AJ214" s="13">
        <f t="shared" si="25"/>
        <v>0.42741935483871</v>
      </c>
      <c r="AK214" s="13">
        <v>0.075501</v>
      </c>
      <c r="AL214" s="13">
        <v>0.327622</v>
      </c>
      <c r="AM214" s="13">
        <v>0.0429</v>
      </c>
      <c r="AN214" s="13">
        <v>5.4194</v>
      </c>
      <c r="AO214" s="13">
        <v>1.43024021875498</v>
      </c>
      <c r="AP214" s="13"/>
      <c r="AQ214" s="13">
        <v>-0.171563</v>
      </c>
      <c r="AR214" s="13">
        <v>0.4</v>
      </c>
      <c r="AS214" s="13">
        <v>14.9141834984764</v>
      </c>
      <c r="AT214" s="13">
        <f t="shared" si="26"/>
        <v>0.0268201071846047</v>
      </c>
      <c r="AU214" s="13">
        <v>0.98</v>
      </c>
      <c r="AV214" s="13">
        <f t="shared" si="27"/>
        <v>0.408163265306122</v>
      </c>
      <c r="AW214" s="13">
        <v>0.057746</v>
      </c>
      <c r="AX214" s="13">
        <v>0.273521</v>
      </c>
      <c r="AY214" s="13">
        <v>0.0405</v>
      </c>
      <c r="AZ214" s="13">
        <v>5.5013</v>
      </c>
      <c r="BA214" s="13">
        <v>0.199318249436526</v>
      </c>
      <c r="BB214" s="13"/>
      <c r="BC214" s="13">
        <v>0.018889</v>
      </c>
    </row>
    <row r="215" spans="1:55">
      <c r="A215" s="8" t="s">
        <v>702</v>
      </c>
      <c r="B215" s="8" t="s">
        <v>703</v>
      </c>
      <c r="C215" s="8" t="s">
        <v>89</v>
      </c>
      <c r="D215" s="9">
        <v>44157</v>
      </c>
      <c r="E215" s="8" t="s">
        <v>136</v>
      </c>
      <c r="F215" s="8" t="s">
        <v>171</v>
      </c>
      <c r="G215" s="10">
        <v>238304762408.15</v>
      </c>
      <c r="H215" s="10">
        <v>0</v>
      </c>
      <c r="I215" s="9">
        <v>3369039335</v>
      </c>
      <c r="J215" s="9">
        <v>9695000000</v>
      </c>
      <c r="K215" s="11">
        <v>100</v>
      </c>
      <c r="L215" s="12">
        <v>41667</v>
      </c>
      <c r="M215" s="12">
        <v>39805</v>
      </c>
      <c r="N215" s="9">
        <f t="shared" si="21"/>
        <v>1862</v>
      </c>
      <c r="O215" s="13">
        <v>65.25</v>
      </c>
      <c r="P215" s="13">
        <v>2.01</v>
      </c>
      <c r="Q215" s="13">
        <v>1.37</v>
      </c>
      <c r="R215" s="8" t="s">
        <v>704</v>
      </c>
      <c r="S215" s="13">
        <v>105024</v>
      </c>
      <c r="T215" s="13">
        <v>1.136</v>
      </c>
      <c r="U215" s="13">
        <v>24.7433</v>
      </c>
      <c r="V215" s="13">
        <f t="shared" si="22"/>
        <v>0.045911418444589</v>
      </c>
      <c r="W215" s="13">
        <v>2.31</v>
      </c>
      <c r="X215" s="13">
        <f t="shared" si="23"/>
        <v>0.491774891774892</v>
      </c>
      <c r="Y215" s="13">
        <v>0.248618</v>
      </c>
      <c r="Z215" s="13">
        <v>0.198524</v>
      </c>
      <c r="AA215" s="13">
        <v>0.8718</v>
      </c>
      <c r="AB215" s="13">
        <v>2.3486</v>
      </c>
      <c r="AC215" s="13">
        <v>0.23</v>
      </c>
      <c r="AD215" s="13">
        <v>0.6083</v>
      </c>
      <c r="AE215" s="13">
        <v>0.01473</v>
      </c>
      <c r="AF215" s="13">
        <v>2.18</v>
      </c>
      <c r="AG215" s="13">
        <v>18.3710863834188</v>
      </c>
      <c r="AH215" s="13">
        <f t="shared" si="24"/>
        <v>0.118664729700885</v>
      </c>
      <c r="AI215" s="13">
        <v>3.62</v>
      </c>
      <c r="AJ215" s="13">
        <f t="shared" si="25"/>
        <v>0.602209944751381</v>
      </c>
      <c r="AK215" s="13">
        <v>0.373513</v>
      </c>
      <c r="AL215" s="13">
        <v>0.318191</v>
      </c>
      <c r="AM215" s="13">
        <v>0.8328</v>
      </c>
      <c r="AN215" s="13">
        <v>2.1304</v>
      </c>
      <c r="AO215" s="13">
        <v>0.336469814699709</v>
      </c>
      <c r="AP215" s="13">
        <v>1.35349166413908</v>
      </c>
      <c r="AQ215" s="13">
        <v>0.095466</v>
      </c>
      <c r="AR215" s="13">
        <v>1.315</v>
      </c>
      <c r="AS215" s="13">
        <v>18.7089826068541</v>
      </c>
      <c r="AT215" s="13">
        <f t="shared" si="26"/>
        <v>0.0702870929773726</v>
      </c>
      <c r="AU215" s="13">
        <v>2.19</v>
      </c>
      <c r="AV215" s="13">
        <f t="shared" si="27"/>
        <v>0.600456621004566</v>
      </c>
      <c r="AW215" s="13">
        <v>0.221275</v>
      </c>
      <c r="AX215" s="13">
        <v>0.210025</v>
      </c>
      <c r="AY215" s="13">
        <v>0.8352</v>
      </c>
      <c r="AZ215" s="13">
        <v>2.1314</v>
      </c>
      <c r="BA215" s="13">
        <v>0.225888651007168</v>
      </c>
      <c r="BB215" s="13">
        <v>0.926690804077552</v>
      </c>
      <c r="BC215" s="13">
        <v>0.024122</v>
      </c>
    </row>
    <row r="216" spans="1:55">
      <c r="A216" s="8" t="s">
        <v>705</v>
      </c>
      <c r="B216" s="8" t="s">
        <v>706</v>
      </c>
      <c r="C216" s="8" t="s">
        <v>89</v>
      </c>
      <c r="D216" s="9">
        <v>14712</v>
      </c>
      <c r="E216" s="8" t="s">
        <v>198</v>
      </c>
      <c r="F216" s="8" t="s">
        <v>59</v>
      </c>
      <c r="G216" s="10">
        <v>3308001954000</v>
      </c>
      <c r="H216" s="10">
        <v>14</v>
      </c>
      <c r="I216" s="9">
        <v>9191155356</v>
      </c>
      <c r="J216" s="9">
        <v>14208999583</v>
      </c>
      <c r="K216" s="11">
        <v>100</v>
      </c>
      <c r="L216" s="12">
        <v>42690</v>
      </c>
      <c r="M216" s="12">
        <v>35094</v>
      </c>
      <c r="N216" s="9">
        <f t="shared" si="21"/>
        <v>7596</v>
      </c>
      <c r="O216" s="13">
        <v>14.72</v>
      </c>
      <c r="P216" s="13">
        <v>8.3</v>
      </c>
      <c r="Q216" s="13">
        <v>6.54</v>
      </c>
      <c r="R216" s="8" t="s">
        <v>707</v>
      </c>
      <c r="S216" s="13">
        <v>114918</v>
      </c>
      <c r="T216" s="13">
        <v>0.22</v>
      </c>
      <c r="U216" s="13">
        <v>7.5016</v>
      </c>
      <c r="V216" s="13">
        <f t="shared" si="22"/>
        <v>0.0293270768902634</v>
      </c>
      <c r="W216" s="13">
        <v>1.6</v>
      </c>
      <c r="X216" s="13">
        <f t="shared" si="23"/>
        <v>0.1375</v>
      </c>
      <c r="Y216" s="13">
        <v>0.095622</v>
      </c>
      <c r="Z216" s="13">
        <v>0.444658</v>
      </c>
      <c r="AA216" s="13">
        <v>0.0168</v>
      </c>
      <c r="AB216" s="13">
        <v>12.8095</v>
      </c>
      <c r="AC216" s="13">
        <v>0.077</v>
      </c>
      <c r="AD216" s="13"/>
      <c r="AE216" s="13">
        <v>0.047881</v>
      </c>
      <c r="AF216" s="13">
        <v>0.4</v>
      </c>
      <c r="AG216" s="13">
        <v>6.43822640546244</v>
      </c>
      <c r="AH216" s="13">
        <f t="shared" si="24"/>
        <v>0.0621289117233629</v>
      </c>
      <c r="AI216" s="13">
        <v>1.5</v>
      </c>
      <c r="AJ216" s="13">
        <f t="shared" si="25"/>
        <v>0.266666666666667</v>
      </c>
      <c r="AK216" s="13">
        <v>0.104539</v>
      </c>
      <c r="AL216" s="13">
        <v>0.420201</v>
      </c>
      <c r="AM216" s="13">
        <v>0.0192</v>
      </c>
      <c r="AN216" s="13">
        <v>12.9774</v>
      </c>
      <c r="AO216" s="13">
        <v>0.474292519358634</v>
      </c>
      <c r="AP216" s="13"/>
      <c r="AQ216" s="13">
        <v>-0.055441</v>
      </c>
      <c r="AR216" s="13">
        <v>0.46</v>
      </c>
      <c r="AS216" s="13">
        <v>6.11362607443585</v>
      </c>
      <c r="AT216" s="13">
        <f t="shared" si="26"/>
        <v>0.0752417623190093</v>
      </c>
      <c r="AU216" s="13">
        <v>1.53</v>
      </c>
      <c r="AV216" s="13">
        <f t="shared" si="27"/>
        <v>0.300653594771242</v>
      </c>
      <c r="AW216" s="13">
        <v>0.098099</v>
      </c>
      <c r="AX216" s="13">
        <v>0.446405</v>
      </c>
      <c r="AY216" s="13">
        <v>0.017</v>
      </c>
      <c r="AZ216" s="13">
        <v>12.9757</v>
      </c>
      <c r="BA216" s="13">
        <v>0.0799028780562416</v>
      </c>
      <c r="BB216" s="13"/>
      <c r="BC216" s="13">
        <v>-0.047974</v>
      </c>
    </row>
    <row r="217" spans="1:55">
      <c r="A217" s="8" t="s">
        <v>708</v>
      </c>
      <c r="B217" s="8" t="s">
        <v>709</v>
      </c>
      <c r="C217" s="8" t="s">
        <v>77</v>
      </c>
      <c r="D217" s="9">
        <v>1201</v>
      </c>
      <c r="E217" s="8" t="s">
        <v>100</v>
      </c>
      <c r="F217" s="8" t="s">
        <v>59</v>
      </c>
      <c r="G217" s="10">
        <v>56663413766.99</v>
      </c>
      <c r="H217" s="10">
        <v>0</v>
      </c>
      <c r="I217" s="9">
        <v>1093518042</v>
      </c>
      <c r="J217" s="9">
        <v>4716787742</v>
      </c>
      <c r="K217" s="11">
        <v>100</v>
      </c>
      <c r="L217" s="12">
        <v>43651</v>
      </c>
      <c r="M217" s="12">
        <v>37287</v>
      </c>
      <c r="N217" s="9">
        <f t="shared" si="21"/>
        <v>6364</v>
      </c>
      <c r="O217" s="13">
        <v>30.17</v>
      </c>
      <c r="P217" s="13">
        <v>17.33</v>
      </c>
      <c r="Q217" s="13">
        <v>14.7</v>
      </c>
      <c r="R217" s="8" t="s">
        <v>710</v>
      </c>
      <c r="S217" s="13">
        <v>79708</v>
      </c>
      <c r="T217" s="13">
        <v>0.103</v>
      </c>
      <c r="U217" s="13">
        <v>7.9045</v>
      </c>
      <c r="V217" s="13">
        <f t="shared" si="22"/>
        <v>0.0130305522170915</v>
      </c>
      <c r="W217" s="13">
        <v>0.16</v>
      </c>
      <c r="X217" s="13">
        <f t="shared" si="23"/>
        <v>0.64375</v>
      </c>
      <c r="Y217" s="13">
        <v>0.032158</v>
      </c>
      <c r="Z217" s="13">
        <v>0.377012</v>
      </c>
      <c r="AA217" s="13">
        <v>0.0381</v>
      </c>
      <c r="AB217" s="13">
        <v>2.2323</v>
      </c>
      <c r="AC217" s="13">
        <v>0.758</v>
      </c>
      <c r="AD217" s="13"/>
      <c r="AE217" s="13">
        <v>0.683579</v>
      </c>
      <c r="AF217" s="13">
        <v>0.05</v>
      </c>
      <c r="AG217" s="13">
        <v>9.01629155862202</v>
      </c>
      <c r="AH217" s="13">
        <f t="shared" si="24"/>
        <v>0.00554551720903329</v>
      </c>
      <c r="AI217" s="13">
        <v>0.01</v>
      </c>
      <c r="AJ217" s="13">
        <f t="shared" si="25"/>
        <v>5</v>
      </c>
      <c r="AK217" s="13">
        <v>0.001669</v>
      </c>
      <c r="AL217" s="13">
        <v>0.024598</v>
      </c>
      <c r="AM217" s="13">
        <v>0.0185</v>
      </c>
      <c r="AN217" s="13">
        <v>1.9574</v>
      </c>
      <c r="AO217" s="13">
        <v>2.2087516504612</v>
      </c>
      <c r="AP217" s="13"/>
      <c r="AQ217" s="13">
        <v>-0.875824</v>
      </c>
      <c r="AR217" s="13">
        <v>0.06</v>
      </c>
      <c r="AS217" s="13">
        <v>8.44585595160347</v>
      </c>
      <c r="AT217" s="13">
        <f t="shared" si="26"/>
        <v>0.00710407569627195</v>
      </c>
      <c r="AU217" s="13">
        <v>0.07</v>
      </c>
      <c r="AV217" s="13">
        <f t="shared" si="27"/>
        <v>0.857142857142857</v>
      </c>
      <c r="AW217" s="13">
        <v>0.013586</v>
      </c>
      <c r="AX217" s="13">
        <v>0.237877</v>
      </c>
      <c r="AY217" s="13">
        <v>0.0258</v>
      </c>
      <c r="AZ217" s="13">
        <v>2.0262</v>
      </c>
      <c r="BA217" s="13">
        <v>-3.32112238936299</v>
      </c>
      <c r="BB217" s="13"/>
      <c r="BC217" s="13">
        <v>0.436253</v>
      </c>
    </row>
    <row r="218" spans="1:55">
      <c r="A218" s="8" t="s">
        <v>711</v>
      </c>
      <c r="B218" s="8" t="s">
        <v>712</v>
      </c>
      <c r="C218" s="8" t="s">
        <v>89</v>
      </c>
      <c r="D218" s="9">
        <v>86451</v>
      </c>
      <c r="E218" s="8" t="s">
        <v>58</v>
      </c>
      <c r="F218" s="8" t="s">
        <v>67</v>
      </c>
      <c r="G218" s="10">
        <v>212908898045</v>
      </c>
      <c r="H218" s="10">
        <v>11</v>
      </c>
      <c r="I218" s="9">
        <v>1780734968</v>
      </c>
      <c r="J218" s="9">
        <v>10197065900</v>
      </c>
      <c r="K218" s="11">
        <v>72.41</v>
      </c>
      <c r="L218" s="12">
        <v>40997</v>
      </c>
      <c r="M218" s="12">
        <v>35587</v>
      </c>
      <c r="N218" s="9">
        <f t="shared" si="21"/>
        <v>5410</v>
      </c>
      <c r="O218" s="13">
        <v>54.02</v>
      </c>
      <c r="P218" s="13">
        <v>27.56</v>
      </c>
      <c r="Q218" s="13">
        <v>3.88</v>
      </c>
      <c r="R218" s="8" t="s">
        <v>713</v>
      </c>
      <c r="S218" s="13">
        <v>127566</v>
      </c>
      <c r="T218" s="13">
        <v>0.02</v>
      </c>
      <c r="U218" s="13">
        <v>8.8394</v>
      </c>
      <c r="V218" s="13">
        <f t="shared" si="22"/>
        <v>0.00226259700884675</v>
      </c>
      <c r="W218" s="13">
        <v>0.08</v>
      </c>
      <c r="X218" s="13">
        <f t="shared" si="23"/>
        <v>0.25</v>
      </c>
      <c r="Y218" s="13">
        <v>0.007159</v>
      </c>
      <c r="Z218" s="13">
        <v>-0.004584</v>
      </c>
      <c r="AA218" s="13">
        <v>0.4781</v>
      </c>
      <c r="AB218" s="13">
        <v>1.9596</v>
      </c>
      <c r="AC218" s="13">
        <v>0.1022</v>
      </c>
      <c r="AD218" s="13">
        <v>0.5999</v>
      </c>
      <c r="AE218" s="13">
        <v>-0.169016</v>
      </c>
      <c r="AF218" s="13">
        <v>0.18</v>
      </c>
      <c r="AG218" s="13">
        <v>13.6618932008128</v>
      </c>
      <c r="AH218" s="13">
        <f t="shared" si="24"/>
        <v>0.0131753335613318</v>
      </c>
      <c r="AI218" s="13">
        <v>0.78</v>
      </c>
      <c r="AJ218" s="13">
        <f t="shared" si="25"/>
        <v>0.230769230769231</v>
      </c>
      <c r="AK218" s="13">
        <v>0.079297</v>
      </c>
      <c r="AL218" s="13">
        <v>0.072705</v>
      </c>
      <c r="AM218" s="13">
        <v>0.6392</v>
      </c>
      <c r="AN218" s="13">
        <v>1.6915</v>
      </c>
      <c r="AO218" s="13">
        <v>-0.0486233163345778</v>
      </c>
      <c r="AP218" s="13">
        <v>0.77492224488645</v>
      </c>
      <c r="AQ218" s="13">
        <v>0.453655</v>
      </c>
      <c r="AR218" s="13">
        <v>0.1</v>
      </c>
      <c r="AS218" s="13">
        <v>10.7053526556977</v>
      </c>
      <c r="AT218" s="13">
        <f t="shared" si="26"/>
        <v>0.00934112151333726</v>
      </c>
      <c r="AU218" s="13">
        <v>0.42</v>
      </c>
      <c r="AV218" s="13">
        <f t="shared" si="27"/>
        <v>0.238095238095238</v>
      </c>
      <c r="AW218" s="13">
        <v>0.038688</v>
      </c>
      <c r="AX218" s="13">
        <v>0.028836</v>
      </c>
      <c r="AY218" s="13">
        <v>0.6352</v>
      </c>
      <c r="AZ218" s="13">
        <v>1.7838</v>
      </c>
      <c r="BA218" s="13">
        <v>0.0518682110152204</v>
      </c>
      <c r="BB218" s="13">
        <v>0.67599772090741</v>
      </c>
      <c r="BC218" s="13">
        <v>0.176239</v>
      </c>
    </row>
    <row r="219" spans="1:55">
      <c r="A219" s="8" t="s">
        <v>714</v>
      </c>
      <c r="B219" s="8" t="s">
        <v>715</v>
      </c>
      <c r="C219" s="8" t="s">
        <v>77</v>
      </c>
      <c r="D219" s="9">
        <v>445110</v>
      </c>
      <c r="E219" s="8" t="s">
        <v>132</v>
      </c>
      <c r="F219" s="8" t="s">
        <v>59</v>
      </c>
      <c r="G219" s="10">
        <v>48135429000000</v>
      </c>
      <c r="H219" s="10">
        <v>0</v>
      </c>
      <c r="I219" s="9">
        <v>28621061712</v>
      </c>
      <c r="J219" s="9">
        <v>349983033873</v>
      </c>
      <c r="K219" s="11">
        <v>91.2171</v>
      </c>
      <c r="L219" s="12">
        <v>40374</v>
      </c>
      <c r="M219" s="12">
        <v>31764</v>
      </c>
      <c r="N219" s="9">
        <f t="shared" si="21"/>
        <v>8610</v>
      </c>
      <c r="O219" s="13">
        <v>40.14</v>
      </c>
      <c r="P219" s="13">
        <v>35.29</v>
      </c>
      <c r="Q219" s="13">
        <v>8.73</v>
      </c>
      <c r="R219" s="8" t="s">
        <v>716</v>
      </c>
      <c r="S219" s="13">
        <v>520726</v>
      </c>
      <c r="T219" s="13">
        <v>0.1255</v>
      </c>
      <c r="U219" s="13">
        <v>4.5172</v>
      </c>
      <c r="V219" s="13">
        <f t="shared" si="22"/>
        <v>0.0277826972460816</v>
      </c>
      <c r="W219" s="13">
        <v>0.75</v>
      </c>
      <c r="X219" s="13">
        <f t="shared" si="23"/>
        <v>0.167333333333333</v>
      </c>
      <c r="Y219" s="13">
        <v>0.094341</v>
      </c>
      <c r="Z219" s="13">
        <v>0.397817</v>
      </c>
      <c r="AA219" s="13">
        <v>0.0171</v>
      </c>
      <c r="AB219" s="13">
        <v>13.8981</v>
      </c>
      <c r="AC219" s="13">
        <v>1.9042</v>
      </c>
      <c r="AD219" s="13"/>
      <c r="AE219" s="13">
        <v>0.022634</v>
      </c>
      <c r="AF219" s="13">
        <v>0.2222</v>
      </c>
      <c r="AG219" s="13">
        <v>2.9393512531861</v>
      </c>
      <c r="AH219" s="13">
        <f t="shared" si="24"/>
        <v>0.0755949122307676</v>
      </c>
      <c r="AI219" s="13">
        <v>0.69</v>
      </c>
      <c r="AJ219" s="13">
        <f t="shared" si="25"/>
        <v>0.322028985507246</v>
      </c>
      <c r="AK219" s="13">
        <v>0.101963</v>
      </c>
      <c r="AL219" s="13">
        <v>0.356876</v>
      </c>
      <c r="AM219" s="13">
        <v>0.023</v>
      </c>
      <c r="AN219" s="13">
        <v>12.3936</v>
      </c>
      <c r="AO219" s="13">
        <v>1.82378446834458</v>
      </c>
      <c r="AP219" s="13"/>
      <c r="AQ219" s="13">
        <v>0.00688</v>
      </c>
      <c r="AR219" s="13">
        <v>0.2309</v>
      </c>
      <c r="AS219" s="13">
        <v>3.42051188155816</v>
      </c>
      <c r="AT219" s="13">
        <f t="shared" si="26"/>
        <v>0.0675045162815857</v>
      </c>
      <c r="AU219" s="13">
        <v>0.72</v>
      </c>
      <c r="AV219" s="13">
        <f t="shared" si="27"/>
        <v>0.320694444444444</v>
      </c>
      <c r="AW219" s="13">
        <v>0.096931</v>
      </c>
      <c r="AX219" s="13">
        <v>0.388326</v>
      </c>
      <c r="AY219" s="13">
        <v>0.0188</v>
      </c>
      <c r="AZ219" s="13">
        <v>13.2791</v>
      </c>
      <c r="BA219" s="13">
        <v>2.62695516012596</v>
      </c>
      <c r="BB219" s="13"/>
      <c r="BC219" s="13">
        <v>0.000253</v>
      </c>
    </row>
    <row r="220" spans="1:55">
      <c r="A220" s="8" t="s">
        <v>717</v>
      </c>
      <c r="B220" s="8" t="s">
        <v>718</v>
      </c>
      <c r="C220" s="8" t="s">
        <v>89</v>
      </c>
      <c r="D220" s="9">
        <v>9552</v>
      </c>
      <c r="E220" s="8" t="s">
        <v>90</v>
      </c>
      <c r="F220" s="8" t="s">
        <v>184</v>
      </c>
      <c r="G220" s="10">
        <v>66673866736</v>
      </c>
      <c r="H220" s="10">
        <v>0</v>
      </c>
      <c r="I220" s="9">
        <v>662376000</v>
      </c>
      <c r="J220" s="9">
        <v>6491100000</v>
      </c>
      <c r="K220" s="11">
        <v>83.0687</v>
      </c>
      <c r="L220" s="12">
        <v>43486</v>
      </c>
      <c r="M220" s="12">
        <v>41593</v>
      </c>
      <c r="N220" s="9">
        <f t="shared" si="21"/>
        <v>1893</v>
      </c>
      <c r="O220" s="13">
        <v>54.26</v>
      </c>
      <c r="P220" s="13">
        <v>16.93</v>
      </c>
      <c r="Q220" s="13">
        <v>15.64</v>
      </c>
      <c r="R220" s="8" t="s">
        <v>719</v>
      </c>
      <c r="S220" s="13">
        <v>38279</v>
      </c>
      <c r="T220" s="13">
        <v>0.2007</v>
      </c>
      <c r="U220" s="13">
        <v>8.2582</v>
      </c>
      <c r="V220" s="13">
        <f t="shared" si="22"/>
        <v>0.0243031169019883</v>
      </c>
      <c r="W220" s="13">
        <v>0.81</v>
      </c>
      <c r="X220" s="13">
        <f t="shared" si="23"/>
        <v>0.247777777777778</v>
      </c>
      <c r="Y220" s="13">
        <v>0.1265</v>
      </c>
      <c r="Z220" s="13">
        <v>0.302638</v>
      </c>
      <c r="AA220" s="13">
        <v>0.308</v>
      </c>
      <c r="AB220" s="13">
        <v>1.4861</v>
      </c>
      <c r="AC220" s="13">
        <v>0.272</v>
      </c>
      <c r="AD220" s="13">
        <v>1.514</v>
      </c>
      <c r="AE220" s="13">
        <v>0.042253</v>
      </c>
      <c r="AF220" s="13">
        <v>0.2693</v>
      </c>
      <c r="AG220" s="13">
        <v>5.60085102319234</v>
      </c>
      <c r="AH220" s="13">
        <f t="shared" si="24"/>
        <v>0.048081978771595</v>
      </c>
      <c r="AI220" s="13">
        <v>0.7</v>
      </c>
      <c r="AJ220" s="13">
        <f t="shared" si="25"/>
        <v>0.384714285714286</v>
      </c>
      <c r="AK220" s="13">
        <v>0.125138</v>
      </c>
      <c r="AL220" s="13">
        <v>0.272384</v>
      </c>
      <c r="AM220" s="13">
        <v>0.3263</v>
      </c>
      <c r="AN220" s="13">
        <v>1.6323</v>
      </c>
      <c r="AO220" s="13">
        <v>0.323578223053396</v>
      </c>
      <c r="AP220" s="13">
        <v>1.18329845436663</v>
      </c>
      <c r="AQ220" s="13">
        <v>0.147094</v>
      </c>
      <c r="AR220" s="13">
        <v>0.2927</v>
      </c>
      <c r="AS220" s="13">
        <v>6.59473721252814</v>
      </c>
      <c r="AT220" s="13">
        <f t="shared" si="26"/>
        <v>0.0443838761981224</v>
      </c>
      <c r="AU220" s="13">
        <v>0.76</v>
      </c>
      <c r="AV220" s="13">
        <f t="shared" si="27"/>
        <v>0.385131578947368</v>
      </c>
      <c r="AW220" s="13">
        <v>0.126764</v>
      </c>
      <c r="AX220" s="13">
        <v>0.303617</v>
      </c>
      <c r="AY220" s="13">
        <v>0.3087</v>
      </c>
      <c r="AZ220" s="13">
        <v>1.5155</v>
      </c>
      <c r="BA220" s="13">
        <v>0.338488657548313</v>
      </c>
      <c r="BB220" s="13">
        <v>1.32129429784465</v>
      </c>
      <c r="BC220" s="13">
        <v>-0.056567</v>
      </c>
    </row>
    <row r="221" spans="1:55">
      <c r="A221" s="8" t="s">
        <v>720</v>
      </c>
      <c r="B221" s="8" t="s">
        <v>721</v>
      </c>
      <c r="C221" s="8" t="s">
        <v>57</v>
      </c>
      <c r="D221" s="9">
        <v>273053</v>
      </c>
      <c r="E221" s="8" t="s">
        <v>58</v>
      </c>
      <c r="F221" s="8" t="s">
        <v>59</v>
      </c>
      <c r="G221" s="10">
        <v>13649993000000</v>
      </c>
      <c r="H221" s="10">
        <v>0</v>
      </c>
      <c r="I221" s="9">
        <v>9697345981</v>
      </c>
      <c r="J221" s="9">
        <v>18107641995</v>
      </c>
      <c r="K221" s="11">
        <v>58.8705</v>
      </c>
      <c r="L221" s="12">
        <v>39142</v>
      </c>
      <c r="M221" s="12">
        <v>32223</v>
      </c>
      <c r="N221" s="9">
        <f t="shared" si="21"/>
        <v>6919</v>
      </c>
      <c r="O221" s="13">
        <v>36.36</v>
      </c>
      <c r="P221" s="13">
        <v>5.32</v>
      </c>
      <c r="Q221" s="13">
        <v>3.16</v>
      </c>
      <c r="R221" s="8" t="s">
        <v>722</v>
      </c>
      <c r="S221" s="13">
        <v>692129</v>
      </c>
      <c r="T221" s="13">
        <v>1.62</v>
      </c>
      <c r="U221" s="13">
        <v>47.4285</v>
      </c>
      <c r="V221" s="13">
        <f t="shared" si="22"/>
        <v>0.0341566779468041</v>
      </c>
      <c r="W221" s="13">
        <v>7.16</v>
      </c>
      <c r="X221" s="13">
        <f t="shared" si="23"/>
        <v>0.226256983240223</v>
      </c>
      <c r="Y221" s="13">
        <v>0.138549</v>
      </c>
      <c r="Z221" s="13">
        <v>0.142608</v>
      </c>
      <c r="AA221" s="13">
        <v>0.0839</v>
      </c>
      <c r="AB221" s="13">
        <v>13.428</v>
      </c>
      <c r="AC221" s="13">
        <v>0.3717</v>
      </c>
      <c r="AD221" s="13"/>
      <c r="AE221" s="13">
        <v>0.125998</v>
      </c>
      <c r="AF221" s="13">
        <v>1.5</v>
      </c>
      <c r="AG221" s="13">
        <v>45.9528962372476</v>
      </c>
      <c r="AH221" s="13">
        <f t="shared" si="24"/>
        <v>0.0326421210157404</v>
      </c>
      <c r="AI221" s="13">
        <v>4.8</v>
      </c>
      <c r="AJ221" s="13">
        <f t="shared" si="25"/>
        <v>0.3125</v>
      </c>
      <c r="AK221" s="13">
        <v>0.100263</v>
      </c>
      <c r="AL221" s="13">
        <v>0.096736</v>
      </c>
      <c r="AM221" s="13">
        <v>0.1044</v>
      </c>
      <c r="AN221" s="13">
        <v>12.7338</v>
      </c>
      <c r="AO221" s="13">
        <v>0.437528363864257</v>
      </c>
      <c r="AP221" s="13"/>
      <c r="AQ221" s="13">
        <v>-0.059195</v>
      </c>
      <c r="AR221" s="13">
        <v>1.5</v>
      </c>
      <c r="AS221" s="13">
        <v>48.0294896339094</v>
      </c>
      <c r="AT221" s="13">
        <f t="shared" si="26"/>
        <v>0.0312308128075752</v>
      </c>
      <c r="AU221" s="13">
        <v>4.84</v>
      </c>
      <c r="AV221" s="13">
        <f t="shared" si="27"/>
        <v>0.309917355371901</v>
      </c>
      <c r="AW221" s="13">
        <v>0.097475</v>
      </c>
      <c r="AX221" s="13">
        <v>0.119583</v>
      </c>
      <c r="AY221" s="13">
        <v>0.0804</v>
      </c>
      <c r="AZ221" s="13">
        <v>12.9264</v>
      </c>
      <c r="BA221" s="13">
        <v>0.394405054120809</v>
      </c>
      <c r="BB221" s="13"/>
      <c r="BC221" s="13">
        <v>0.037978</v>
      </c>
    </row>
    <row r="222" spans="1:55">
      <c r="A222" s="8" t="s">
        <v>723</v>
      </c>
      <c r="B222" s="8" t="s">
        <v>724</v>
      </c>
      <c r="C222" s="8" t="s">
        <v>77</v>
      </c>
      <c r="D222" s="9">
        <v>175121</v>
      </c>
      <c r="E222" s="8" t="s">
        <v>132</v>
      </c>
      <c r="F222" s="8" t="s">
        <v>59</v>
      </c>
      <c r="G222" s="10">
        <v>1943027000000</v>
      </c>
      <c r="H222" s="10">
        <v>0</v>
      </c>
      <c r="I222" s="9">
        <v>2985603196</v>
      </c>
      <c r="J222" s="9">
        <v>44223990583</v>
      </c>
      <c r="K222" s="11">
        <v>80.2681</v>
      </c>
      <c r="L222" s="12">
        <v>43420</v>
      </c>
      <c r="M222" s="12">
        <v>35299</v>
      </c>
      <c r="N222" s="9">
        <f t="shared" si="21"/>
        <v>8121</v>
      </c>
      <c r="O222" s="13">
        <v>60.84</v>
      </c>
      <c r="P222" s="13">
        <v>19.69</v>
      </c>
      <c r="Q222" s="13">
        <v>12.68</v>
      </c>
      <c r="R222" s="8" t="s">
        <v>725</v>
      </c>
      <c r="S222" s="13">
        <v>142596</v>
      </c>
      <c r="T222" s="13">
        <v>0.117</v>
      </c>
      <c r="U222" s="13">
        <v>6.0404</v>
      </c>
      <c r="V222" s="13">
        <f t="shared" si="22"/>
        <v>0.0193695781736309</v>
      </c>
      <c r="W222" s="13">
        <v>0.97</v>
      </c>
      <c r="X222" s="13">
        <f t="shared" si="23"/>
        <v>0.120618556701031</v>
      </c>
      <c r="Y222" s="13">
        <v>0.167756</v>
      </c>
      <c r="Z222" s="13">
        <v>0.092962</v>
      </c>
      <c r="AA222" s="13">
        <v>0.3743</v>
      </c>
      <c r="AB222" s="13">
        <v>6.5029</v>
      </c>
      <c r="AC222" s="13">
        <v>0.1415</v>
      </c>
      <c r="AD222" s="13"/>
      <c r="AE222" s="13">
        <v>0.124526</v>
      </c>
      <c r="AF222" s="13">
        <v>0.166</v>
      </c>
      <c r="AG222" s="13">
        <v>4.89916127618415</v>
      </c>
      <c r="AH222" s="13">
        <f t="shared" si="24"/>
        <v>0.0338833507700514</v>
      </c>
      <c r="AI222" s="13">
        <v>0.55</v>
      </c>
      <c r="AJ222" s="13">
        <f t="shared" si="25"/>
        <v>0.301818181818182</v>
      </c>
      <c r="AK222" s="13">
        <v>0.110775</v>
      </c>
      <c r="AL222" s="13">
        <v>0.055286</v>
      </c>
      <c r="AM222" s="13">
        <v>0.4304</v>
      </c>
      <c r="AN222" s="13">
        <v>6.5475</v>
      </c>
      <c r="AO222" s="13">
        <v>0.115406235554288</v>
      </c>
      <c r="AP222" s="13"/>
      <c r="AQ222" s="13">
        <v>0.038763</v>
      </c>
      <c r="AR222" s="13">
        <v>0.156</v>
      </c>
      <c r="AS222" s="13">
        <v>5.74253788586767</v>
      </c>
      <c r="AT222" s="13">
        <f t="shared" si="26"/>
        <v>0.0271656892998328</v>
      </c>
      <c r="AU222" s="13">
        <v>0.51</v>
      </c>
      <c r="AV222" s="13">
        <f t="shared" si="27"/>
        <v>0.305882352941176</v>
      </c>
      <c r="AW222" s="13">
        <v>0.098188</v>
      </c>
      <c r="AX222" s="13">
        <v>0.056891</v>
      </c>
      <c r="AY222" s="13">
        <v>0.3608</v>
      </c>
      <c r="AZ222" s="13">
        <v>6.6094</v>
      </c>
      <c r="BA222" s="13">
        <v>0.127552671592867</v>
      </c>
      <c r="BB222" s="13"/>
      <c r="BC222" s="13">
        <v>0.044302</v>
      </c>
    </row>
    <row r="223" spans="1:55">
      <c r="A223" s="8" t="s">
        <v>726</v>
      </c>
      <c r="B223" s="8" t="s">
        <v>727</v>
      </c>
      <c r="C223" s="8" t="s">
        <v>77</v>
      </c>
      <c r="D223" s="9">
        <v>95267</v>
      </c>
      <c r="E223" s="8" t="s">
        <v>198</v>
      </c>
      <c r="F223" s="8" t="s">
        <v>59</v>
      </c>
      <c r="G223" s="10">
        <v>15499783000000</v>
      </c>
      <c r="H223" s="10">
        <v>0</v>
      </c>
      <c r="I223" s="9">
        <v>22967284001</v>
      </c>
      <c r="J223" s="9">
        <v>88363784223</v>
      </c>
      <c r="K223" s="11">
        <v>29.5058</v>
      </c>
      <c r="L223" s="12">
        <v>39217</v>
      </c>
      <c r="M223" s="12">
        <v>31866</v>
      </c>
      <c r="N223" s="9">
        <f t="shared" si="21"/>
        <v>7351</v>
      </c>
      <c r="O223" s="13">
        <v>35.01</v>
      </c>
      <c r="P223" s="13">
        <v>16</v>
      </c>
      <c r="Q223" s="13">
        <v>13.06</v>
      </c>
      <c r="R223" s="8" t="s">
        <v>728</v>
      </c>
      <c r="S223" s="13">
        <v>292449</v>
      </c>
      <c r="T223" s="13">
        <v>0.197</v>
      </c>
      <c r="U223" s="13">
        <v>6.9644</v>
      </c>
      <c r="V223" s="13">
        <f t="shared" si="22"/>
        <v>0.0282867152949285</v>
      </c>
      <c r="W223" s="13">
        <v>1.16</v>
      </c>
      <c r="X223" s="13">
        <f t="shared" si="23"/>
        <v>0.169827586206897</v>
      </c>
      <c r="Y223" s="13">
        <v>0.083846</v>
      </c>
      <c r="Z223" s="13">
        <v>0.362662</v>
      </c>
      <c r="AA223" s="13">
        <v>0.0179</v>
      </c>
      <c r="AB223" s="13">
        <v>12.9735</v>
      </c>
      <c r="AC223" s="13">
        <v>-0.2207</v>
      </c>
      <c r="AD223" s="13"/>
      <c r="AE223" s="13">
        <v>0.008661</v>
      </c>
      <c r="AF223" s="13">
        <v>0.373</v>
      </c>
      <c r="AG223" s="13">
        <v>4.81548191414151</v>
      </c>
      <c r="AH223" s="13">
        <f t="shared" si="24"/>
        <v>0.0774584987858889</v>
      </c>
      <c r="AI223" s="13">
        <v>1.14</v>
      </c>
      <c r="AJ223" s="13">
        <f t="shared" si="25"/>
        <v>0.32719298245614</v>
      </c>
      <c r="AK223" s="13">
        <v>0.092703</v>
      </c>
      <c r="AL223" s="13">
        <v>0.337133</v>
      </c>
      <c r="AM223" s="13">
        <v>0.0221</v>
      </c>
      <c r="AN223" s="13">
        <v>12.4032</v>
      </c>
      <c r="AO223" s="13">
        <v>1.34890357464704</v>
      </c>
      <c r="AP223" s="13"/>
      <c r="AQ223" s="13">
        <v>0.013319</v>
      </c>
      <c r="AR223" s="13">
        <v>0.375</v>
      </c>
      <c r="AS223" s="13">
        <v>5.58977506274866</v>
      </c>
      <c r="AT223" s="13">
        <f t="shared" si="26"/>
        <v>0.0670867782317525</v>
      </c>
      <c r="AU223" s="13">
        <v>1.15</v>
      </c>
      <c r="AV223" s="13">
        <f t="shared" si="27"/>
        <v>0.326086956521739</v>
      </c>
      <c r="AW223" s="13">
        <v>0.087834</v>
      </c>
      <c r="AX223" s="13">
        <v>0.36201</v>
      </c>
      <c r="AY223" s="13">
        <v>0.019</v>
      </c>
      <c r="AZ223" s="13">
        <v>12.8125</v>
      </c>
      <c r="BA223" s="13">
        <v>0.533096527494711</v>
      </c>
      <c r="BB223" s="13"/>
      <c r="BC223" s="13">
        <v>0.003111</v>
      </c>
    </row>
    <row r="224" spans="1:55">
      <c r="A224" s="8" t="s">
        <v>729</v>
      </c>
      <c r="B224" s="8" t="s">
        <v>730</v>
      </c>
      <c r="C224" s="8" t="s">
        <v>77</v>
      </c>
      <c r="D224" s="9">
        <v>28120</v>
      </c>
      <c r="E224" s="8" t="s">
        <v>132</v>
      </c>
      <c r="F224" s="8" t="s">
        <v>59</v>
      </c>
      <c r="G224" s="10">
        <v>1833491000000</v>
      </c>
      <c r="H224" s="10">
        <v>0</v>
      </c>
      <c r="I224" s="9">
        <v>702497025</v>
      </c>
      <c r="J224" s="9">
        <v>3119546600</v>
      </c>
      <c r="K224" s="11">
        <v>66.8507</v>
      </c>
      <c r="L224" s="12">
        <v>40893</v>
      </c>
      <c r="M224" s="12">
        <v>35336</v>
      </c>
      <c r="N224" s="9">
        <f t="shared" si="21"/>
        <v>5557</v>
      </c>
      <c r="O224" s="13">
        <v>31.34</v>
      </c>
      <c r="P224" s="13">
        <v>31.19</v>
      </c>
      <c r="Q224" s="13">
        <v>12.09</v>
      </c>
      <c r="R224" s="8" t="s">
        <v>731</v>
      </c>
      <c r="S224" s="13">
        <v>81603</v>
      </c>
      <c r="T224" s="13">
        <v>1.99</v>
      </c>
      <c r="U224" s="13">
        <v>39.5948</v>
      </c>
      <c r="V224" s="13">
        <f t="shared" si="22"/>
        <v>0.0502591249355976</v>
      </c>
      <c r="W224" s="13">
        <v>8.41</v>
      </c>
      <c r="X224" s="13">
        <f t="shared" si="23"/>
        <v>0.236623067776457</v>
      </c>
      <c r="Y224" s="13">
        <v>0.260587</v>
      </c>
      <c r="Z224" s="13">
        <v>0.197903</v>
      </c>
      <c r="AA224" s="13">
        <v>0.0856</v>
      </c>
      <c r="AB224" s="13">
        <v>15.3773</v>
      </c>
      <c r="AC224" s="13">
        <v>0.7264</v>
      </c>
      <c r="AD224" s="13"/>
      <c r="AE224" s="13">
        <v>0.852698</v>
      </c>
      <c r="AF224" s="13">
        <v>1.08</v>
      </c>
      <c r="AG224" s="13">
        <v>31.885588375076</v>
      </c>
      <c r="AH224" s="13">
        <f t="shared" si="24"/>
        <v>0.0338711014924913</v>
      </c>
      <c r="AI224" s="13">
        <v>3.15</v>
      </c>
      <c r="AJ224" s="13">
        <f t="shared" si="25"/>
        <v>0.342857142857143</v>
      </c>
      <c r="AK224" s="13">
        <v>0.092932</v>
      </c>
      <c r="AL224" s="13">
        <v>0.045848</v>
      </c>
      <c r="AM224" s="13">
        <v>0.1799</v>
      </c>
      <c r="AN224" s="13">
        <v>11.2724</v>
      </c>
      <c r="AO224" s="13">
        <v>0.417065215869802</v>
      </c>
      <c r="AP224" s="13"/>
      <c r="AQ224" s="13">
        <v>-0.036249</v>
      </c>
      <c r="AR224" s="13">
        <v>0.85</v>
      </c>
      <c r="AS224" s="13">
        <v>36.8369499586376</v>
      </c>
      <c r="AT224" s="13">
        <f t="shared" si="26"/>
        <v>0.0230746574011807</v>
      </c>
      <c r="AU224" s="13">
        <v>2.79</v>
      </c>
      <c r="AV224" s="13">
        <f t="shared" si="27"/>
        <v>0.304659498207885</v>
      </c>
      <c r="AW224" s="13">
        <v>0.083789</v>
      </c>
      <c r="AX224" s="13">
        <v>0.121822</v>
      </c>
      <c r="AY224" s="13">
        <v>0.0538</v>
      </c>
      <c r="AZ224" s="13">
        <v>12.7833</v>
      </c>
      <c r="BA224" s="13">
        <v>1.27955050526228</v>
      </c>
      <c r="BB224" s="13"/>
      <c r="BC224" s="13">
        <v>-0.337822</v>
      </c>
    </row>
    <row r="225" spans="1:55">
      <c r="A225" s="8" t="s">
        <v>732</v>
      </c>
      <c r="B225" s="8" t="s">
        <v>733</v>
      </c>
      <c r="C225" s="8" t="s">
        <v>82</v>
      </c>
      <c r="D225" s="9">
        <v>5975</v>
      </c>
      <c r="E225" s="8" t="s">
        <v>188</v>
      </c>
      <c r="F225" s="8" t="s">
        <v>222</v>
      </c>
      <c r="G225" s="10">
        <v>37839187000</v>
      </c>
      <c r="H225" s="10">
        <v>0</v>
      </c>
      <c r="I225" s="9">
        <v>2881532133</v>
      </c>
      <c r="J225" s="9">
        <v>6999557879</v>
      </c>
      <c r="K225" s="11">
        <v>100</v>
      </c>
      <c r="L225" s="12">
        <v>40924</v>
      </c>
      <c r="M225" s="12">
        <v>33775</v>
      </c>
      <c r="N225" s="9">
        <f t="shared" si="21"/>
        <v>7149</v>
      </c>
      <c r="O225" s="13">
        <v>47.1</v>
      </c>
      <c r="P225" s="13">
        <v>6.38</v>
      </c>
      <c r="Q225" s="13">
        <v>5.35</v>
      </c>
      <c r="R225" s="8" t="s">
        <v>734</v>
      </c>
      <c r="S225" s="13">
        <v>339280</v>
      </c>
      <c r="T225" s="13">
        <v>0.1</v>
      </c>
      <c r="U225" s="13">
        <v>10.2863</v>
      </c>
      <c r="V225" s="13">
        <f t="shared" si="22"/>
        <v>0.00972166862720317</v>
      </c>
      <c r="W225" s="13">
        <v>-0.16</v>
      </c>
      <c r="X225" s="13">
        <f t="shared" si="23"/>
        <v>-0.625</v>
      </c>
      <c r="Y225" s="13">
        <v>-0.035219</v>
      </c>
      <c r="Z225" s="13">
        <v>-0.13936</v>
      </c>
      <c r="AA225" s="13">
        <v>0.2027</v>
      </c>
      <c r="AB225" s="13">
        <v>1.2626</v>
      </c>
      <c r="AC225" s="13">
        <v>0.041</v>
      </c>
      <c r="AD225" s="13">
        <v>3.7427</v>
      </c>
      <c r="AE225" s="13">
        <v>-0.122329</v>
      </c>
      <c r="AF225" s="13"/>
      <c r="AG225" s="13">
        <v>8.62206885069406</v>
      </c>
      <c r="AH225" s="13">
        <f t="shared" si="24"/>
        <v>0</v>
      </c>
      <c r="AI225" s="13">
        <v>-0.31</v>
      </c>
      <c r="AJ225" s="13">
        <f t="shared" si="25"/>
        <v>0</v>
      </c>
      <c r="AK225" s="13">
        <v>-0.066034</v>
      </c>
      <c r="AL225" s="13">
        <v>-0.234648</v>
      </c>
      <c r="AM225" s="13">
        <v>0.2361</v>
      </c>
      <c r="AN225" s="13">
        <v>1.2085</v>
      </c>
      <c r="AO225" s="13">
        <v>0.0585375188770228</v>
      </c>
      <c r="AP225" s="13">
        <v>4.11712012616528</v>
      </c>
      <c r="AQ225" s="13">
        <v>-0.125392</v>
      </c>
      <c r="AR225" s="13">
        <v>0.1</v>
      </c>
      <c r="AS225" s="13">
        <v>13.2981316649822</v>
      </c>
      <c r="AT225" s="13">
        <f t="shared" si="26"/>
        <v>0.00751985335378568</v>
      </c>
      <c r="AU225" s="13">
        <v>-0.07</v>
      </c>
      <c r="AV225" s="13">
        <f t="shared" si="27"/>
        <v>-1.42857142857143</v>
      </c>
      <c r="AW225" s="13">
        <v>-0.015476</v>
      </c>
      <c r="AX225" s="13">
        <v>-0.055117</v>
      </c>
      <c r="AY225" s="13">
        <v>0.2299</v>
      </c>
      <c r="AZ225" s="13">
        <v>1.2379</v>
      </c>
      <c r="BA225" s="13">
        <v>0.102070637214708</v>
      </c>
      <c r="BB225" s="13">
        <v>3.86524405615657</v>
      </c>
      <c r="BC225" s="13">
        <v>-0.048883</v>
      </c>
    </row>
    <row r="226" spans="1:55">
      <c r="A226" s="8" t="s">
        <v>735</v>
      </c>
      <c r="B226" s="8" t="s">
        <v>736</v>
      </c>
      <c r="C226" s="8" t="s">
        <v>89</v>
      </c>
      <c r="D226" s="9">
        <v>8615</v>
      </c>
      <c r="E226" s="8" t="s">
        <v>370</v>
      </c>
      <c r="F226" s="8" t="s">
        <v>59</v>
      </c>
      <c r="G226" s="10">
        <v>316608030707.92</v>
      </c>
      <c r="H226" s="10">
        <v>0</v>
      </c>
      <c r="I226" s="9">
        <v>6112905527</v>
      </c>
      <c r="J226" s="9">
        <v>8635987294</v>
      </c>
      <c r="K226" s="11">
        <v>100</v>
      </c>
      <c r="L226" s="12">
        <v>40464</v>
      </c>
      <c r="M226" s="12">
        <v>36665</v>
      </c>
      <c r="N226" s="9">
        <f t="shared" si="21"/>
        <v>3799</v>
      </c>
      <c r="O226" s="13">
        <v>20.49</v>
      </c>
      <c r="P226" s="13">
        <v>7.35</v>
      </c>
      <c r="Q226" s="13">
        <v>3.17</v>
      </c>
      <c r="R226" s="8" t="s">
        <v>737</v>
      </c>
      <c r="S226" s="13">
        <v>207325</v>
      </c>
      <c r="T226" s="13">
        <v>0.1</v>
      </c>
      <c r="U226" s="13">
        <v>6.0675</v>
      </c>
      <c r="V226" s="13">
        <f t="shared" si="22"/>
        <v>0.0164812525751957</v>
      </c>
      <c r="W226" s="13">
        <v>0.2385</v>
      </c>
      <c r="X226" s="13">
        <f t="shared" si="23"/>
        <v>0.419287211740042</v>
      </c>
      <c r="Y226" s="13">
        <v>0.037904</v>
      </c>
      <c r="Z226" s="13">
        <v>0.23447</v>
      </c>
      <c r="AA226" s="13">
        <v>0.043</v>
      </c>
      <c r="AB226" s="13">
        <v>5.0324</v>
      </c>
      <c r="AC226" s="13">
        <v>1.9543</v>
      </c>
      <c r="AD226" s="13"/>
      <c r="AE226" s="13">
        <v>0.162477</v>
      </c>
      <c r="AF226" s="13">
        <v>0.13</v>
      </c>
      <c r="AG226" s="13">
        <v>6.95736432098553</v>
      </c>
      <c r="AH226" s="13">
        <f t="shared" si="24"/>
        <v>0.0186852368227837</v>
      </c>
      <c r="AI226" s="13">
        <v>0.35</v>
      </c>
      <c r="AJ226" s="13">
        <f t="shared" si="25"/>
        <v>0.371428571428571</v>
      </c>
      <c r="AK226" s="13">
        <v>0.056436</v>
      </c>
      <c r="AL226" s="13">
        <v>0.313597</v>
      </c>
      <c r="AM226" s="13">
        <v>0.046</v>
      </c>
      <c r="AN226" s="13">
        <v>4.9578</v>
      </c>
      <c r="AO226" s="13">
        <v>2.12543933925875</v>
      </c>
      <c r="AP226" s="13"/>
      <c r="AQ226" s="13">
        <v>-0.438143</v>
      </c>
      <c r="AR226" s="13">
        <v>0.1</v>
      </c>
      <c r="AS226" s="13">
        <v>6.54831409273328</v>
      </c>
      <c r="AT226" s="13">
        <f t="shared" si="26"/>
        <v>0.0152711062089967</v>
      </c>
      <c r="AU226" s="13">
        <v>0.23</v>
      </c>
      <c r="AV226" s="13">
        <f t="shared" si="27"/>
        <v>0.434782608695652</v>
      </c>
      <c r="AW226" s="13">
        <v>0.036164</v>
      </c>
      <c r="AX226" s="13">
        <v>0.251042</v>
      </c>
      <c r="AY226" s="13">
        <v>0.0409</v>
      </c>
      <c r="AZ226" s="13">
        <v>4.7817</v>
      </c>
      <c r="BA226" s="13">
        <v>-0.974893270786397</v>
      </c>
      <c r="BB226" s="13"/>
      <c r="BC226" s="13">
        <v>-0.003047</v>
      </c>
    </row>
    <row r="227" spans="1:55">
      <c r="A227" s="8" t="s">
        <v>738</v>
      </c>
      <c r="B227" s="8" t="s">
        <v>739</v>
      </c>
      <c r="C227" s="8" t="s">
        <v>77</v>
      </c>
      <c r="D227" s="9">
        <v>297359</v>
      </c>
      <c r="E227" s="8" t="s">
        <v>132</v>
      </c>
      <c r="F227" s="8" t="s">
        <v>458</v>
      </c>
      <c r="G227" s="10">
        <v>2399670886000</v>
      </c>
      <c r="H227" s="10">
        <v>0</v>
      </c>
      <c r="I227" s="9">
        <v>9016132051</v>
      </c>
      <c r="J227" s="9">
        <v>24686285629</v>
      </c>
      <c r="K227" s="11">
        <v>82.9402</v>
      </c>
      <c r="L227" s="12">
        <v>39419</v>
      </c>
      <c r="M227" s="12">
        <v>39337</v>
      </c>
      <c r="N227" s="9">
        <f t="shared" si="21"/>
        <v>82</v>
      </c>
      <c r="O227" s="13">
        <v>46.98</v>
      </c>
      <c r="P227" s="13">
        <v>16.22</v>
      </c>
      <c r="Q227" s="13">
        <v>3</v>
      </c>
      <c r="R227" s="8" t="s">
        <v>740</v>
      </c>
      <c r="S227" s="13">
        <v>486853</v>
      </c>
      <c r="T227" s="13">
        <v>0.178</v>
      </c>
      <c r="U227" s="13">
        <v>6.4482</v>
      </c>
      <c r="V227" s="13">
        <f t="shared" si="22"/>
        <v>0.0276046028348997</v>
      </c>
      <c r="W227" s="13">
        <v>1.085</v>
      </c>
      <c r="X227" s="13">
        <f t="shared" si="23"/>
        <v>0.164055299539171</v>
      </c>
      <c r="Y227" s="13">
        <v>0.081155</v>
      </c>
      <c r="Z227" s="13">
        <v>0.026508</v>
      </c>
      <c r="AA227" s="13">
        <v>0.568</v>
      </c>
      <c r="AB227" s="13">
        <v>5.9452</v>
      </c>
      <c r="AC227" s="13">
        <v>0.0242</v>
      </c>
      <c r="AD227" s="13">
        <v>0.2068</v>
      </c>
      <c r="AE227" s="13">
        <v>-0.08165</v>
      </c>
      <c r="AF227" s="13">
        <v>0.2</v>
      </c>
      <c r="AG227" s="13">
        <v>6.1521265800247</v>
      </c>
      <c r="AH227" s="13">
        <f t="shared" si="24"/>
        <v>0.032509084037604</v>
      </c>
      <c r="AI227" s="13">
        <v>1.198</v>
      </c>
      <c r="AJ227" s="13">
        <f t="shared" si="25"/>
        <v>0.166944908180301</v>
      </c>
      <c r="AK227" s="13">
        <v>0.108502</v>
      </c>
      <c r="AL227" s="13">
        <v>0.030296</v>
      </c>
      <c r="AM227" s="13">
        <v>0.7761</v>
      </c>
      <c r="AN227" s="13">
        <v>5.1603</v>
      </c>
      <c r="AO227" s="13">
        <v>0.0377282666535796</v>
      </c>
      <c r="AP227" s="13">
        <v>0.287497234228003</v>
      </c>
      <c r="AQ227" s="13">
        <v>0.075551</v>
      </c>
      <c r="AR227" s="13">
        <v>0.21</v>
      </c>
      <c r="AS227" s="13">
        <v>7.2696298881722</v>
      </c>
      <c r="AT227" s="13">
        <f t="shared" si="26"/>
        <v>0.0288873028242708</v>
      </c>
      <c r="AU227" s="13">
        <v>1.294</v>
      </c>
      <c r="AV227" s="13">
        <f t="shared" si="27"/>
        <v>0.162287480680062</v>
      </c>
      <c r="AW227" s="13">
        <v>0.105663</v>
      </c>
      <c r="AX227" s="13">
        <v>0.029788</v>
      </c>
      <c r="AY227" s="13">
        <v>0.734</v>
      </c>
      <c r="AZ227" s="13">
        <v>5.432</v>
      </c>
      <c r="BA227" s="13">
        <v>0.0303634850880231</v>
      </c>
      <c r="BB227" s="13">
        <v>0.242687376335461</v>
      </c>
      <c r="BC227" s="13">
        <v>0.094525</v>
      </c>
    </row>
    <row r="228" spans="1:55">
      <c r="A228" s="8" t="s">
        <v>741</v>
      </c>
      <c r="B228" s="8" t="s">
        <v>742</v>
      </c>
      <c r="C228" s="8" t="s">
        <v>77</v>
      </c>
      <c r="D228" s="9">
        <v>408437</v>
      </c>
      <c r="E228" s="8" t="s">
        <v>132</v>
      </c>
      <c r="F228" s="8" t="s">
        <v>59</v>
      </c>
      <c r="G228" s="10">
        <v>52813421000000</v>
      </c>
      <c r="H228" s="10">
        <v>0</v>
      </c>
      <c r="I228" s="9">
        <v>31192691681</v>
      </c>
      <c r="J228" s="9">
        <v>356406257089</v>
      </c>
      <c r="K228" s="11">
        <v>75.6474</v>
      </c>
      <c r="L228" s="12">
        <v>39017</v>
      </c>
      <c r="M228" s="12">
        <v>31373</v>
      </c>
      <c r="N228" s="9">
        <f t="shared" si="21"/>
        <v>7644</v>
      </c>
      <c r="O228" s="13">
        <v>34.79</v>
      </c>
      <c r="P228" s="13">
        <v>31.14</v>
      </c>
      <c r="Q228" s="13">
        <v>24.18</v>
      </c>
      <c r="R228" s="8" t="s">
        <v>743</v>
      </c>
      <c r="S228" s="13">
        <v>657907</v>
      </c>
      <c r="T228" s="13">
        <v>0.1646</v>
      </c>
      <c r="U228" s="13">
        <v>5.7931</v>
      </c>
      <c r="V228" s="13">
        <f t="shared" si="22"/>
        <v>0.028413112150662</v>
      </c>
      <c r="W228" s="13">
        <v>0.98</v>
      </c>
      <c r="X228" s="13">
        <f t="shared" si="23"/>
        <v>0.167959183673469</v>
      </c>
      <c r="Y228" s="13">
        <v>0.094701</v>
      </c>
      <c r="Z228" s="13">
        <v>0.446513</v>
      </c>
      <c r="AA228" s="13">
        <v>0.0176</v>
      </c>
      <c r="AB228" s="13">
        <v>12.1033</v>
      </c>
      <c r="AC228" s="13">
        <v>0.7048</v>
      </c>
      <c r="AD228" s="13"/>
      <c r="AE228" s="13">
        <v>-0.025226</v>
      </c>
      <c r="AF228" s="13">
        <v>0.3035</v>
      </c>
      <c r="AG228" s="13">
        <v>4.52079071048707</v>
      </c>
      <c r="AH228" s="13">
        <f t="shared" si="24"/>
        <v>0.0671342735013055</v>
      </c>
      <c r="AI228" s="13">
        <v>0.97</v>
      </c>
      <c r="AJ228" s="13">
        <f t="shared" si="25"/>
        <v>0.312886597938144</v>
      </c>
      <c r="AK228" s="13">
        <v>0.106763</v>
      </c>
      <c r="AL228" s="13">
        <v>0.393292</v>
      </c>
      <c r="AM228" s="13">
        <v>0.0246</v>
      </c>
      <c r="AN228" s="13">
        <v>11.0739</v>
      </c>
      <c r="AO228" s="13">
        <v>1.53014578606062</v>
      </c>
      <c r="AP228" s="13"/>
      <c r="AQ228" s="13">
        <v>-0.026277</v>
      </c>
      <c r="AR228" s="13">
        <v>0.3064</v>
      </c>
      <c r="AS228" s="13">
        <v>4.70967909574197</v>
      </c>
      <c r="AT228" s="13">
        <f t="shared" si="26"/>
        <v>0.0650575110896657</v>
      </c>
      <c r="AU228" s="13">
        <v>0.98</v>
      </c>
      <c r="AV228" s="13">
        <f t="shared" si="27"/>
        <v>0.31265306122449</v>
      </c>
      <c r="AW228" s="13">
        <v>0.100383</v>
      </c>
      <c r="AX228" s="13">
        <v>0.433079</v>
      </c>
      <c r="AY228" s="13">
        <v>0.02</v>
      </c>
      <c r="AZ228" s="13">
        <v>11.6252</v>
      </c>
      <c r="BA228" s="13">
        <v>1.68076434934228</v>
      </c>
      <c r="BB228" s="13"/>
      <c r="BC228" s="13">
        <v>-0.037299</v>
      </c>
    </row>
    <row r="229" spans="1:55">
      <c r="A229" s="8" t="s">
        <v>744</v>
      </c>
      <c r="B229" s="8" t="s">
        <v>745</v>
      </c>
      <c r="C229" s="8" t="s">
        <v>89</v>
      </c>
      <c r="D229" s="9">
        <v>3265</v>
      </c>
      <c r="E229" s="8" t="s">
        <v>83</v>
      </c>
      <c r="F229" s="8" t="s">
        <v>59</v>
      </c>
      <c r="G229" s="10">
        <v>189324970981.32</v>
      </c>
      <c r="H229" s="10">
        <v>0</v>
      </c>
      <c r="I229" s="9">
        <v>1396745415</v>
      </c>
      <c r="J229" s="9">
        <v>5680592806</v>
      </c>
      <c r="K229" s="11">
        <v>45.7291</v>
      </c>
      <c r="L229" s="12">
        <v>44043</v>
      </c>
      <c r="M229" s="12">
        <v>36168</v>
      </c>
      <c r="N229" s="9">
        <f t="shared" si="21"/>
        <v>7875</v>
      </c>
      <c r="O229" s="13">
        <v>23.86</v>
      </c>
      <c r="P229" s="13">
        <v>7.79</v>
      </c>
      <c r="Q229" s="13">
        <v>6.87</v>
      </c>
      <c r="R229" s="8" t="s">
        <v>746</v>
      </c>
      <c r="S229" s="13">
        <v>91845</v>
      </c>
      <c r="T229" s="13">
        <v>0.056</v>
      </c>
      <c r="U229" s="13">
        <v>11.6268</v>
      </c>
      <c r="V229" s="13">
        <f t="shared" si="22"/>
        <v>0.00481645852685176</v>
      </c>
      <c r="W229" s="13">
        <v>0.14</v>
      </c>
      <c r="X229" s="13">
        <f t="shared" si="23"/>
        <v>0.4</v>
      </c>
      <c r="Y229" s="13">
        <v>0.021864</v>
      </c>
      <c r="Z229" s="13">
        <v>0.151403</v>
      </c>
      <c r="AA229" s="13">
        <v>0.0291</v>
      </c>
      <c r="AB229" s="13">
        <v>5.0707</v>
      </c>
      <c r="AC229" s="13">
        <v>5.239</v>
      </c>
      <c r="AD229" s="13"/>
      <c r="AE229" s="13">
        <v>-0.092144</v>
      </c>
      <c r="AF229" s="13"/>
      <c r="AG229" s="13">
        <v>11.9323405348464</v>
      </c>
      <c r="AH229" s="13">
        <f t="shared" si="24"/>
        <v>0</v>
      </c>
      <c r="AI229" s="13">
        <v>0.27</v>
      </c>
      <c r="AJ229" s="13">
        <f t="shared" si="25"/>
        <v>0</v>
      </c>
      <c r="AK229" s="13">
        <v>0.046303</v>
      </c>
      <c r="AL229" s="13">
        <v>0.292529</v>
      </c>
      <c r="AM229" s="13">
        <v>0.0374</v>
      </c>
      <c r="AN229" s="13">
        <v>4.234</v>
      </c>
      <c r="AO229" s="13">
        <v>0.336785334173215</v>
      </c>
      <c r="AP229" s="13"/>
      <c r="AQ229" s="13">
        <v>-0.115853</v>
      </c>
      <c r="AR229" s="13">
        <v>0.142</v>
      </c>
      <c r="AS229" s="13">
        <v>11.2749604043064</v>
      </c>
      <c r="AT229" s="13">
        <f t="shared" si="26"/>
        <v>0.0125942792620153</v>
      </c>
      <c r="AU229" s="13">
        <v>0.24</v>
      </c>
      <c r="AV229" s="13">
        <f t="shared" si="27"/>
        <v>0.591666666666667</v>
      </c>
      <c r="AW229" s="13">
        <v>0.038884</v>
      </c>
      <c r="AX229" s="13">
        <v>0.228238</v>
      </c>
      <c r="AY229" s="13">
        <v>0.0366</v>
      </c>
      <c r="AZ229" s="13">
        <v>4.6775</v>
      </c>
      <c r="BA229" s="13">
        <v>-0.241580706482492</v>
      </c>
      <c r="BB229" s="13"/>
      <c r="BC229" s="13">
        <v>0.126775</v>
      </c>
    </row>
    <row r="230" spans="1:55">
      <c r="A230" s="8" t="s">
        <v>747</v>
      </c>
      <c r="B230" s="8" t="s">
        <v>748</v>
      </c>
      <c r="C230" s="8" t="s">
        <v>77</v>
      </c>
      <c r="D230" s="9">
        <v>63133</v>
      </c>
      <c r="E230" s="8" t="s">
        <v>132</v>
      </c>
      <c r="F230" s="8" t="s">
        <v>67</v>
      </c>
      <c r="G230" s="10">
        <v>230398939000</v>
      </c>
      <c r="H230" s="10">
        <v>0</v>
      </c>
      <c r="I230" s="9">
        <v>7737911208</v>
      </c>
      <c r="J230" s="9">
        <v>17155632078</v>
      </c>
      <c r="K230" s="11">
        <v>76.7423</v>
      </c>
      <c r="L230" s="12">
        <v>39202</v>
      </c>
      <c r="M230" s="12">
        <v>37144</v>
      </c>
      <c r="N230" s="9">
        <f t="shared" si="21"/>
        <v>2058</v>
      </c>
      <c r="O230" s="13">
        <v>30.52</v>
      </c>
      <c r="P230" s="13">
        <v>22.94</v>
      </c>
      <c r="Q230" s="13">
        <v>2.62</v>
      </c>
      <c r="R230" s="8" t="s">
        <v>749</v>
      </c>
      <c r="S230" s="13">
        <v>356252</v>
      </c>
      <c r="T230" s="13">
        <v>0.135</v>
      </c>
      <c r="U230" s="13">
        <v>7.3764</v>
      </c>
      <c r="V230" s="13">
        <f t="shared" si="22"/>
        <v>0.0183016105417277</v>
      </c>
      <c r="W230" s="13">
        <v>0.723</v>
      </c>
      <c r="X230" s="13">
        <f t="shared" si="23"/>
        <v>0.186721991701245</v>
      </c>
      <c r="Y230" s="13">
        <v>0.191288</v>
      </c>
      <c r="Z230" s="13">
        <v>0.081757</v>
      </c>
      <c r="AA230" s="13">
        <v>1.1087</v>
      </c>
      <c r="AB230" s="13">
        <v>3.2985</v>
      </c>
      <c r="AC230" s="13">
        <v>0.1384</v>
      </c>
      <c r="AD230" s="13">
        <v>0.5241</v>
      </c>
      <c r="AE230" s="13">
        <v>0.052133</v>
      </c>
      <c r="AF230" s="13">
        <v>0.036</v>
      </c>
      <c r="AG230" s="13">
        <v>5.30111320296747</v>
      </c>
      <c r="AH230" s="13">
        <f t="shared" si="24"/>
        <v>0.00679102645456577</v>
      </c>
      <c r="AI230" s="13">
        <v>0.239</v>
      </c>
      <c r="AJ230" s="13">
        <f t="shared" si="25"/>
        <v>0.150627615062762</v>
      </c>
      <c r="AK230" s="13">
        <v>0.075079</v>
      </c>
      <c r="AL230" s="13">
        <v>0.037264</v>
      </c>
      <c r="AM230" s="13">
        <v>1.438</v>
      </c>
      <c r="AN230" s="13">
        <v>3.6244</v>
      </c>
      <c r="AO230" s="13">
        <v>0.0955578702295506</v>
      </c>
      <c r="AP230" s="13">
        <v>0.31540933229836</v>
      </c>
      <c r="AQ230" s="13">
        <v>-0.026423</v>
      </c>
      <c r="AR230" s="13">
        <v>0.08</v>
      </c>
      <c r="AS230" s="13">
        <v>5.79842668394522</v>
      </c>
      <c r="AT230" s="13">
        <f t="shared" si="26"/>
        <v>0.0137968459998822</v>
      </c>
      <c r="AU230" s="13">
        <v>0.391</v>
      </c>
      <c r="AV230" s="13">
        <f t="shared" si="27"/>
        <v>0.20460358056266</v>
      </c>
      <c r="AW230" s="13">
        <v>0.116958</v>
      </c>
      <c r="AX230" s="13">
        <v>0.05591</v>
      </c>
      <c r="AY230" s="13">
        <v>1.0614</v>
      </c>
      <c r="AZ230" s="13">
        <v>3.6923</v>
      </c>
      <c r="BA230" s="13">
        <v>0.120144289656663</v>
      </c>
      <c r="BB230" s="13">
        <v>0.444932041776062</v>
      </c>
      <c r="BC230" s="13">
        <v>-0.226528</v>
      </c>
    </row>
    <row r="231" spans="1:55">
      <c r="A231" s="8" t="s">
        <v>750</v>
      </c>
      <c r="B231" s="8" t="s">
        <v>751</v>
      </c>
      <c r="C231" s="8" t="s">
        <v>57</v>
      </c>
      <c r="D231" s="9">
        <v>94990</v>
      </c>
      <c r="E231" s="8" t="s">
        <v>198</v>
      </c>
      <c r="F231" s="8" t="s">
        <v>59</v>
      </c>
      <c r="G231" s="10">
        <v>3077640000000</v>
      </c>
      <c r="H231" s="10">
        <v>2</v>
      </c>
      <c r="I231" s="9">
        <v>3032747835</v>
      </c>
      <c r="J231" s="9">
        <v>9620341455</v>
      </c>
      <c r="K231" s="11">
        <v>71.1518</v>
      </c>
      <c r="L231" s="12">
        <v>39441</v>
      </c>
      <c r="M231" s="12">
        <v>33371</v>
      </c>
      <c r="N231" s="9">
        <f t="shared" si="21"/>
        <v>6070</v>
      </c>
      <c r="O231" s="13">
        <v>28.82</v>
      </c>
      <c r="P231" s="13">
        <v>14.05</v>
      </c>
      <c r="Q231" s="13">
        <v>13.35</v>
      </c>
      <c r="R231" s="8" t="s">
        <v>752</v>
      </c>
      <c r="S231" s="13">
        <v>98287</v>
      </c>
      <c r="T231" s="13">
        <v>1.08</v>
      </c>
      <c r="U231" s="13">
        <v>29.7008</v>
      </c>
      <c r="V231" s="13">
        <f t="shared" si="22"/>
        <v>0.0363626568981307</v>
      </c>
      <c r="W231" s="13">
        <v>4.67</v>
      </c>
      <c r="X231" s="13">
        <f t="shared" si="23"/>
        <v>0.231263383297645</v>
      </c>
      <c r="Y231" s="13">
        <v>0.16621</v>
      </c>
      <c r="Z231" s="13">
        <v>0.114928</v>
      </c>
      <c r="AA231" s="13">
        <v>0.1561</v>
      </c>
      <c r="AB231" s="13">
        <v>9.5727</v>
      </c>
      <c r="AC231" s="13">
        <v>0.3821</v>
      </c>
      <c r="AD231" s="13"/>
      <c r="AE231" s="13">
        <v>0.2474</v>
      </c>
      <c r="AF231" s="13">
        <v>1.02</v>
      </c>
      <c r="AG231" s="13">
        <v>23.1109712075317</v>
      </c>
      <c r="AH231" s="13">
        <f t="shared" si="24"/>
        <v>0.0441348825560212</v>
      </c>
      <c r="AI231" s="13">
        <v>2.56</v>
      </c>
      <c r="AJ231" s="13">
        <f t="shared" si="25"/>
        <v>0.3984375</v>
      </c>
      <c r="AK231" s="13">
        <v>0.108127</v>
      </c>
      <c r="AL231" s="13">
        <v>0.055427</v>
      </c>
      <c r="AM231" s="13">
        <v>0.2209</v>
      </c>
      <c r="AN231" s="13">
        <v>9.0566</v>
      </c>
      <c r="AO231" s="13">
        <v>0.32481355902427</v>
      </c>
      <c r="AP231" s="13"/>
      <c r="AQ231" s="13">
        <v>0.033426</v>
      </c>
      <c r="AR231" s="13">
        <v>1.02</v>
      </c>
      <c r="AS231" s="13">
        <v>27.9178478672666</v>
      </c>
      <c r="AT231" s="13">
        <f t="shared" si="26"/>
        <v>0.0365357675437418</v>
      </c>
      <c r="AU231" s="13">
        <v>2.83</v>
      </c>
      <c r="AV231" s="13">
        <f t="shared" si="27"/>
        <v>0.360424028268551</v>
      </c>
      <c r="AW231" s="13">
        <v>0.114038</v>
      </c>
      <c r="AX231" s="13">
        <v>0.08616</v>
      </c>
      <c r="AY231" s="13">
        <v>0.1433</v>
      </c>
      <c r="AZ231" s="13">
        <v>9.456</v>
      </c>
      <c r="BA231" s="13">
        <v>0.42557532914538</v>
      </c>
      <c r="BB231" s="13"/>
      <c r="BC231" s="13">
        <v>-0.024673</v>
      </c>
    </row>
    <row r="232" spans="1:55">
      <c r="A232" s="8" t="s">
        <v>753</v>
      </c>
      <c r="B232" s="8" t="s">
        <v>754</v>
      </c>
      <c r="C232" s="8" t="s">
        <v>89</v>
      </c>
      <c r="D232" s="9">
        <v>49402</v>
      </c>
      <c r="E232" s="8" t="s">
        <v>198</v>
      </c>
      <c r="F232" s="8" t="s">
        <v>166</v>
      </c>
      <c r="G232" s="10">
        <v>236746245236.22</v>
      </c>
      <c r="H232" s="10">
        <v>6</v>
      </c>
      <c r="I232" s="9">
        <v>998262872</v>
      </c>
      <c r="J232" s="9">
        <v>3708361809</v>
      </c>
      <c r="K232" s="11">
        <v>75.214</v>
      </c>
      <c r="L232" s="12">
        <v>34417</v>
      </c>
      <c r="M232" s="12">
        <v>34352</v>
      </c>
      <c r="N232" s="9">
        <f t="shared" si="21"/>
        <v>65</v>
      </c>
      <c r="O232" s="13">
        <v>24.761</v>
      </c>
      <c r="P232" s="13">
        <v>19.322</v>
      </c>
      <c r="Q232" s="13">
        <v>17.949</v>
      </c>
      <c r="R232" s="8" t="s">
        <v>755</v>
      </c>
      <c r="S232" s="13">
        <v>92942</v>
      </c>
      <c r="T232" s="13">
        <v>0.29</v>
      </c>
      <c r="U232" s="13">
        <v>19.2627</v>
      </c>
      <c r="V232" s="13">
        <f t="shared" si="22"/>
        <v>0.0150550026735608</v>
      </c>
      <c r="W232" s="13">
        <v>1.23</v>
      </c>
      <c r="X232" s="13">
        <f t="shared" si="23"/>
        <v>0.235772357723577</v>
      </c>
      <c r="Y232" s="13">
        <v>0.064943</v>
      </c>
      <c r="Z232" s="13">
        <v>0.021326</v>
      </c>
      <c r="AA232" s="13">
        <v>1.2708</v>
      </c>
      <c r="AB232" s="13">
        <v>3.0897</v>
      </c>
      <c r="AC232" s="13">
        <v>0.0212</v>
      </c>
      <c r="AD232" s="13">
        <v>0.361</v>
      </c>
      <c r="AE232" s="13">
        <v>0.057457</v>
      </c>
      <c r="AF232" s="13">
        <v>0.61</v>
      </c>
      <c r="AG232" s="13">
        <v>19.9793331846241</v>
      </c>
      <c r="AH232" s="13">
        <f t="shared" si="24"/>
        <v>0.0305315494948275</v>
      </c>
      <c r="AI232" s="13">
        <v>1.61</v>
      </c>
      <c r="AJ232" s="13">
        <f t="shared" si="25"/>
        <v>0.37888198757764</v>
      </c>
      <c r="AK232" s="13">
        <v>0.096496</v>
      </c>
      <c r="AL232" s="13">
        <v>0.03014</v>
      </c>
      <c r="AM232" s="13">
        <v>1.2832</v>
      </c>
      <c r="AN232" s="13">
        <v>3.1057</v>
      </c>
      <c r="AO232" s="13">
        <v>0.0204471704688486</v>
      </c>
      <c r="AP232" s="13">
        <v>0.350656502327907</v>
      </c>
      <c r="AQ232" s="13">
        <v>0.074862</v>
      </c>
      <c r="AR232" s="13">
        <v>0.41</v>
      </c>
      <c r="AS232" s="13">
        <v>19.883274108279</v>
      </c>
      <c r="AT232" s="13">
        <f t="shared" si="26"/>
        <v>0.0206203464161511</v>
      </c>
      <c r="AU232" s="13">
        <v>1.02</v>
      </c>
      <c r="AV232" s="13">
        <f t="shared" si="27"/>
        <v>0.401960784313725</v>
      </c>
      <c r="AW232" s="13">
        <v>0.05558</v>
      </c>
      <c r="AX232" s="13">
        <v>0.019849</v>
      </c>
      <c r="AY232" s="13">
        <v>1.2694</v>
      </c>
      <c r="AZ232" s="13">
        <v>3.0247</v>
      </c>
      <c r="BA232" s="13">
        <v>0.0200984188688822</v>
      </c>
      <c r="BB232" s="13">
        <v>0.347943584394093</v>
      </c>
      <c r="BC232" s="13">
        <v>0.122052</v>
      </c>
    </row>
    <row r="233" spans="1:55">
      <c r="A233" s="8" t="s">
        <v>756</v>
      </c>
      <c r="B233" s="8" t="s">
        <v>757</v>
      </c>
      <c r="C233" s="8" t="s">
        <v>77</v>
      </c>
      <c r="D233" s="9">
        <v>93450</v>
      </c>
      <c r="E233" s="8" t="s">
        <v>132</v>
      </c>
      <c r="F233" s="8" t="s">
        <v>458</v>
      </c>
      <c r="G233" s="10">
        <v>873007755000</v>
      </c>
      <c r="H233" s="10">
        <v>0</v>
      </c>
      <c r="I233" s="9">
        <v>6433903870</v>
      </c>
      <c r="J233" s="9">
        <v>20723619170</v>
      </c>
      <c r="K233" s="11">
        <v>86.1462</v>
      </c>
      <c r="L233" s="12">
        <v>40077</v>
      </c>
      <c r="M233" s="12">
        <v>39783</v>
      </c>
      <c r="N233" s="9">
        <f t="shared" si="21"/>
        <v>294</v>
      </c>
      <c r="O233" s="13">
        <v>44.26</v>
      </c>
      <c r="P233" s="13">
        <v>13.75</v>
      </c>
      <c r="Q233" s="13">
        <v>5.92</v>
      </c>
      <c r="R233" s="8" t="s">
        <v>758</v>
      </c>
      <c r="S233" s="13">
        <v>282523</v>
      </c>
      <c r="T233" s="13">
        <v>0.056</v>
      </c>
      <c r="U233" s="13">
        <v>3.2759</v>
      </c>
      <c r="V233" s="13">
        <f t="shared" si="22"/>
        <v>0.017094538905339</v>
      </c>
      <c r="W233" s="13">
        <v>0.24</v>
      </c>
      <c r="X233" s="13">
        <f t="shared" si="23"/>
        <v>0.233333333333333</v>
      </c>
      <c r="Y233" s="13">
        <v>0.045195</v>
      </c>
      <c r="Z233" s="13">
        <v>0.014319</v>
      </c>
      <c r="AA233" s="13">
        <v>0.7512</v>
      </c>
      <c r="AB233" s="13">
        <v>4.923</v>
      </c>
      <c r="AC233" s="13">
        <v>0.0142</v>
      </c>
      <c r="AD233" s="13">
        <v>0.1001</v>
      </c>
      <c r="AE233" s="13">
        <v>-0.129121</v>
      </c>
      <c r="AF233" s="13">
        <v>0.083</v>
      </c>
      <c r="AG233" s="13">
        <v>3.70434180690545</v>
      </c>
      <c r="AH233" s="13">
        <f t="shared" si="24"/>
        <v>0.0224061396940411</v>
      </c>
      <c r="AI233" s="13">
        <v>0.45</v>
      </c>
      <c r="AJ233" s="13">
        <f t="shared" si="25"/>
        <v>0.184444444444444</v>
      </c>
      <c r="AK233" s="13">
        <v>0.089871</v>
      </c>
      <c r="AL233" s="13">
        <v>0.021812</v>
      </c>
      <c r="AM233" s="13">
        <v>1.05</v>
      </c>
      <c r="AN233" s="13">
        <v>4.938</v>
      </c>
      <c r="AO233" s="13">
        <v>0.0306293374458386</v>
      </c>
      <c r="AP233" s="13">
        <v>0.131635527748371</v>
      </c>
      <c r="AQ233" s="13">
        <v>0.183985</v>
      </c>
      <c r="AR233" s="13">
        <v>0.072</v>
      </c>
      <c r="AS233" s="13">
        <v>3.79193497673663</v>
      </c>
      <c r="AT233" s="13">
        <f t="shared" si="26"/>
        <v>0.0189876673628944</v>
      </c>
      <c r="AU233" s="13">
        <v>0.33</v>
      </c>
      <c r="AV233" s="13">
        <f t="shared" si="27"/>
        <v>0.218181818181818</v>
      </c>
      <c r="AW233" s="13">
        <v>0.065047</v>
      </c>
      <c r="AX233" s="13">
        <v>0.017994</v>
      </c>
      <c r="AY233" s="13">
        <v>1.0166</v>
      </c>
      <c r="AZ233" s="13">
        <v>4.6776</v>
      </c>
      <c r="BA233" s="13">
        <v>0.00929496123420632</v>
      </c>
      <c r="BB233" s="13">
        <v>0.111461382169627</v>
      </c>
      <c r="BC233" s="13">
        <v>0.069518</v>
      </c>
    </row>
    <row r="234" spans="1:55">
      <c r="A234" s="8" t="s">
        <v>759</v>
      </c>
      <c r="B234" s="8" t="s">
        <v>760</v>
      </c>
      <c r="C234" s="8" t="s">
        <v>77</v>
      </c>
      <c r="D234" s="9">
        <v>97687</v>
      </c>
      <c r="E234" s="8" t="s">
        <v>132</v>
      </c>
      <c r="F234" s="8" t="s">
        <v>59</v>
      </c>
      <c r="G234" s="10">
        <v>7417981000000</v>
      </c>
      <c r="H234" s="10">
        <v>0</v>
      </c>
      <c r="I234" s="9">
        <v>1500000000</v>
      </c>
      <c r="J234" s="9">
        <v>28264705000</v>
      </c>
      <c r="K234" s="11">
        <v>73.6733</v>
      </c>
      <c r="L234" s="12">
        <v>39091</v>
      </c>
      <c r="M234" s="12">
        <v>37802</v>
      </c>
      <c r="N234" s="9">
        <f t="shared" si="21"/>
        <v>1289</v>
      </c>
      <c r="O234" s="13">
        <v>68.37</v>
      </c>
      <c r="P234" s="13">
        <v>25.96</v>
      </c>
      <c r="Q234" s="13">
        <v>2.51</v>
      </c>
      <c r="R234" s="8" t="s">
        <v>761</v>
      </c>
      <c r="S234" s="13">
        <v>97240</v>
      </c>
      <c r="T234" s="13">
        <v>0.45</v>
      </c>
      <c r="U234" s="13">
        <v>34.6804</v>
      </c>
      <c r="V234" s="13">
        <f t="shared" si="22"/>
        <v>0.01297562888548</v>
      </c>
      <c r="W234" s="13">
        <v>3.78</v>
      </c>
      <c r="X234" s="13">
        <f t="shared" si="23"/>
        <v>0.119047619047619</v>
      </c>
      <c r="Y234" s="13">
        <v>0.220533</v>
      </c>
      <c r="Z234" s="13">
        <v>0.206104</v>
      </c>
      <c r="AA234" s="13">
        <v>0.0835</v>
      </c>
      <c r="AB234" s="13">
        <v>13.0524</v>
      </c>
      <c r="AC234" s="13">
        <v>0.7166</v>
      </c>
      <c r="AD234" s="13"/>
      <c r="AE234" s="13">
        <v>0.304975</v>
      </c>
      <c r="AF234" s="13">
        <v>0.49</v>
      </c>
      <c r="AG234" s="13">
        <v>29.6551801821115</v>
      </c>
      <c r="AH234" s="13">
        <f t="shared" si="24"/>
        <v>0.0165232514856064</v>
      </c>
      <c r="AI234" s="13">
        <v>1.14</v>
      </c>
      <c r="AJ234" s="13">
        <f t="shared" si="25"/>
        <v>0.429824561403509</v>
      </c>
      <c r="AK234" s="13">
        <v>0.070143</v>
      </c>
      <c r="AL234" s="13">
        <v>0.040571</v>
      </c>
      <c r="AM234" s="13">
        <v>0.1629</v>
      </c>
      <c r="AN234" s="13">
        <v>11.0883</v>
      </c>
      <c r="AO234" s="13">
        <v>0.426083009000611</v>
      </c>
      <c r="AP234" s="13"/>
      <c r="AQ234" s="13">
        <v>-0.037802</v>
      </c>
      <c r="AR234" s="13">
        <v>0.43</v>
      </c>
      <c r="AS234" s="13">
        <v>35.1816071216623</v>
      </c>
      <c r="AT234" s="13">
        <f t="shared" si="26"/>
        <v>0.0122222955453117</v>
      </c>
      <c r="AU234" s="13">
        <v>0.75</v>
      </c>
      <c r="AV234" s="13">
        <f t="shared" si="27"/>
        <v>0.573333333333333</v>
      </c>
      <c r="AW234" s="13">
        <v>0.047106</v>
      </c>
      <c r="AX234" s="13">
        <v>0.027013</v>
      </c>
      <c r="AY234" s="13">
        <v>0.1504</v>
      </c>
      <c r="AZ234" s="13">
        <v>12.4297</v>
      </c>
      <c r="BA234" s="13">
        <v>0.463361973792726</v>
      </c>
      <c r="BB234" s="13"/>
      <c r="BC234" s="13">
        <v>0.01429</v>
      </c>
    </row>
    <row r="235" spans="1:55">
      <c r="A235" s="8" t="s">
        <v>762</v>
      </c>
      <c r="B235" s="8" t="s">
        <v>763</v>
      </c>
      <c r="C235" s="8" t="s">
        <v>82</v>
      </c>
      <c r="D235" s="9">
        <v>84915</v>
      </c>
      <c r="E235" s="8" t="s">
        <v>206</v>
      </c>
      <c r="F235" s="8" t="s">
        <v>67</v>
      </c>
      <c r="G235" s="10">
        <v>220944857684.52</v>
      </c>
      <c r="H235" s="10">
        <v>0</v>
      </c>
      <c r="I235" s="9">
        <v>1094243112</v>
      </c>
      <c r="J235" s="9">
        <v>8557872012</v>
      </c>
      <c r="K235" s="11">
        <v>72.5559</v>
      </c>
      <c r="L235" s="12">
        <v>40814</v>
      </c>
      <c r="M235" s="12">
        <v>37054</v>
      </c>
      <c r="N235" s="9">
        <f t="shared" si="21"/>
        <v>3760</v>
      </c>
      <c r="O235" s="13">
        <v>59.77</v>
      </c>
      <c r="P235" s="13">
        <v>26.94</v>
      </c>
      <c r="Q235" s="13">
        <v>2.3</v>
      </c>
      <c r="R235" s="8" t="s">
        <v>764</v>
      </c>
      <c r="S235" s="13">
        <v>137540</v>
      </c>
      <c r="T235" s="13">
        <v>0.45</v>
      </c>
      <c r="U235" s="13">
        <v>25.5366</v>
      </c>
      <c r="V235" s="13">
        <f t="shared" si="22"/>
        <v>0.0176217664058645</v>
      </c>
      <c r="W235" s="13">
        <v>1.49</v>
      </c>
      <c r="X235" s="13">
        <f t="shared" si="23"/>
        <v>0.302013422818792</v>
      </c>
      <c r="Y235" s="13">
        <v>0.172111</v>
      </c>
      <c r="Z235" s="13">
        <v>0.062773</v>
      </c>
      <c r="AA235" s="13">
        <v>0.9662</v>
      </c>
      <c r="AB235" s="13">
        <v>2.8378</v>
      </c>
      <c r="AC235" s="13">
        <v>0.1374</v>
      </c>
      <c r="AD235" s="13">
        <v>0.3869</v>
      </c>
      <c r="AE235" s="13">
        <v>0.167329</v>
      </c>
      <c r="AF235" s="13">
        <v>0.3</v>
      </c>
      <c r="AG235" s="13">
        <v>33.4305111948236</v>
      </c>
      <c r="AH235" s="13">
        <f t="shared" si="24"/>
        <v>0.00897383824769189</v>
      </c>
      <c r="AI235" s="13">
        <v>0.91</v>
      </c>
      <c r="AJ235" s="13">
        <f t="shared" si="25"/>
        <v>0.32967032967033</v>
      </c>
      <c r="AK235" s="13">
        <v>0.129841</v>
      </c>
      <c r="AL235" s="13">
        <v>0.06009</v>
      </c>
      <c r="AM235" s="13">
        <v>0.7614</v>
      </c>
      <c r="AN235" s="13">
        <v>2.8334</v>
      </c>
      <c r="AO235" s="13">
        <v>0.089640715357651</v>
      </c>
      <c r="AP235" s="13">
        <v>0.42340334472151</v>
      </c>
      <c r="AQ235" s="13">
        <v>0.006857</v>
      </c>
      <c r="AR235" s="13">
        <v>0.3</v>
      </c>
      <c r="AS235" s="13">
        <v>28.0736726657605</v>
      </c>
      <c r="AT235" s="13">
        <f t="shared" si="26"/>
        <v>0.0106861686239538</v>
      </c>
      <c r="AU235" s="13">
        <v>0.82</v>
      </c>
      <c r="AV235" s="13">
        <f t="shared" si="27"/>
        <v>0.365853658536585</v>
      </c>
      <c r="AW235" s="13">
        <v>0.105033</v>
      </c>
      <c r="AX235" s="13">
        <v>0.040545</v>
      </c>
      <c r="AY235" s="13">
        <v>0.896</v>
      </c>
      <c r="AZ235" s="13">
        <v>2.8917</v>
      </c>
      <c r="BA235" s="13">
        <v>0.102497408731595</v>
      </c>
      <c r="BB235" s="13">
        <v>0.409629866105286</v>
      </c>
      <c r="BC235" s="13">
        <v>0.261192</v>
      </c>
    </row>
    <row r="236" spans="1:55">
      <c r="A236" s="8" t="s">
        <v>765</v>
      </c>
      <c r="B236" s="8" t="s">
        <v>766</v>
      </c>
      <c r="C236" s="8" t="s">
        <v>77</v>
      </c>
      <c r="D236" s="9">
        <v>179282</v>
      </c>
      <c r="E236" s="8" t="s">
        <v>132</v>
      </c>
      <c r="F236" s="8" t="s">
        <v>59</v>
      </c>
      <c r="G236" s="10">
        <v>18605653000000</v>
      </c>
      <c r="H236" s="10">
        <v>0</v>
      </c>
      <c r="I236" s="9">
        <v>10317011125</v>
      </c>
      <c r="J236" s="9">
        <v>120095053492</v>
      </c>
      <c r="K236" s="11">
        <v>55.8911</v>
      </c>
      <c r="L236" s="12">
        <v>43809</v>
      </c>
      <c r="M236" s="12">
        <v>39147</v>
      </c>
      <c r="N236" s="9">
        <f t="shared" si="21"/>
        <v>4662</v>
      </c>
      <c r="O236" s="13">
        <v>51.87</v>
      </c>
      <c r="P236" s="13">
        <v>16.52</v>
      </c>
      <c r="Q236" s="13">
        <v>15.77</v>
      </c>
      <c r="R236" s="8" t="s">
        <v>767</v>
      </c>
      <c r="S236" s="13">
        <v>140256</v>
      </c>
      <c r="T236" s="13">
        <v>0.1139</v>
      </c>
      <c r="U236" s="13">
        <v>5.0126</v>
      </c>
      <c r="V236" s="13">
        <f t="shared" si="22"/>
        <v>0.0227227386984798</v>
      </c>
      <c r="W236" s="13">
        <v>0.81</v>
      </c>
      <c r="X236" s="13">
        <f t="shared" si="23"/>
        <v>0.140617283950617</v>
      </c>
      <c r="Y236" s="13">
        <v>0.087153</v>
      </c>
      <c r="Z236" s="13">
        <v>0.24863</v>
      </c>
      <c r="AA236" s="13">
        <v>0.0213</v>
      </c>
      <c r="AB236" s="13">
        <v>16.5336</v>
      </c>
      <c r="AC236" s="13">
        <v>1.1391</v>
      </c>
      <c r="AD236" s="13"/>
      <c r="AE236" s="13">
        <v>0.0183</v>
      </c>
      <c r="AF236" s="13">
        <v>0.2579</v>
      </c>
      <c r="AG236" s="13">
        <v>5.01270378021591</v>
      </c>
      <c r="AH236" s="13">
        <f t="shared" si="24"/>
        <v>0.0514492799310977</v>
      </c>
      <c r="AI236" s="13">
        <v>0.85</v>
      </c>
      <c r="AJ236" s="13">
        <f t="shared" si="25"/>
        <v>0.303411764705882</v>
      </c>
      <c r="AK236" s="13">
        <v>0.105324</v>
      </c>
      <c r="AL236" s="13">
        <v>0.254825</v>
      </c>
      <c r="AM236" s="13">
        <v>0.0251</v>
      </c>
      <c r="AN236" s="13">
        <v>16.4709</v>
      </c>
      <c r="AO236" s="13">
        <v>1.41783995509858</v>
      </c>
      <c r="AP236" s="13"/>
      <c r="AQ236" s="13">
        <v>0.050803</v>
      </c>
      <c r="AR236" s="13">
        <v>0.261</v>
      </c>
      <c r="AS236" s="13">
        <v>4.92472678390935</v>
      </c>
      <c r="AT236" s="13">
        <f t="shared" si="26"/>
        <v>0.0529978639328318</v>
      </c>
      <c r="AU236" s="13">
        <v>0.83</v>
      </c>
      <c r="AV236" s="13">
        <f t="shared" si="27"/>
        <v>0.314457831325301</v>
      </c>
      <c r="AW236" s="13">
        <v>0.096982</v>
      </c>
      <c r="AX236" s="13">
        <v>0.252328</v>
      </c>
      <c r="AY236" s="13">
        <v>0.023</v>
      </c>
      <c r="AZ236" s="13">
        <v>16.7466</v>
      </c>
      <c r="BA236" s="13">
        <v>0.768851439532623</v>
      </c>
      <c r="BB236" s="13"/>
      <c r="BC236" s="13">
        <v>0.022543</v>
      </c>
    </row>
    <row r="237" spans="1:55">
      <c r="A237" s="8" t="s">
        <v>768</v>
      </c>
      <c r="B237" s="8" t="s">
        <v>769</v>
      </c>
      <c r="C237" s="8" t="s">
        <v>77</v>
      </c>
      <c r="D237" s="9">
        <v>361249</v>
      </c>
      <c r="E237" s="8" t="s">
        <v>132</v>
      </c>
      <c r="F237" s="8" t="s">
        <v>458</v>
      </c>
      <c r="G237" s="10">
        <v>3412521637000</v>
      </c>
      <c r="H237" s="10">
        <v>0</v>
      </c>
      <c r="I237" s="9">
        <v>17476663119</v>
      </c>
      <c r="J237" s="9">
        <v>41320390444</v>
      </c>
      <c r="K237" s="11">
        <v>100</v>
      </c>
      <c r="L237" s="12">
        <v>40023</v>
      </c>
      <c r="M237" s="12">
        <v>39426</v>
      </c>
      <c r="N237" s="9">
        <f t="shared" si="21"/>
        <v>597</v>
      </c>
      <c r="O237" s="13">
        <v>57.7045</v>
      </c>
      <c r="P237" s="13"/>
      <c r="Q237" s="13"/>
      <c r="R237" s="8"/>
      <c r="S237" s="13">
        <v>360268</v>
      </c>
      <c r="T237" s="13">
        <v>0.2715</v>
      </c>
      <c r="U237" s="13">
        <v>5.6223</v>
      </c>
      <c r="V237" s="13">
        <f t="shared" si="22"/>
        <v>0.0482898457926471</v>
      </c>
      <c r="W237" s="13">
        <v>1.11</v>
      </c>
      <c r="X237" s="13">
        <f t="shared" si="23"/>
        <v>0.244594594594595</v>
      </c>
      <c r="Y237" s="13">
        <v>0.103815</v>
      </c>
      <c r="Z237" s="13">
        <v>0.028685</v>
      </c>
      <c r="AA237" s="13">
        <v>0.718</v>
      </c>
      <c r="AB237" s="13">
        <v>6.8472</v>
      </c>
      <c r="AC237" s="13">
        <v>0.0072</v>
      </c>
      <c r="AD237" s="13">
        <v>0.2423</v>
      </c>
      <c r="AE237" s="13">
        <v>-0.034597</v>
      </c>
      <c r="AF237" s="13">
        <v>0.2527</v>
      </c>
      <c r="AG237" s="13">
        <v>5.44769486318175</v>
      </c>
      <c r="AH237" s="13">
        <f t="shared" si="24"/>
        <v>0.0463865921911069</v>
      </c>
      <c r="AI237" s="13">
        <v>1.23</v>
      </c>
      <c r="AJ237" s="13">
        <f t="shared" si="25"/>
        <v>0.205447154471545</v>
      </c>
      <c r="AK237" s="13">
        <v>0.139931</v>
      </c>
      <c r="AL237" s="13">
        <v>0.033679</v>
      </c>
      <c r="AM237" s="13">
        <v>0.8153</v>
      </c>
      <c r="AN237" s="13">
        <v>6.9225</v>
      </c>
      <c r="AO237" s="13">
        <v>0.00186317760795229</v>
      </c>
      <c r="AP237" s="13">
        <v>0.239043285193645</v>
      </c>
      <c r="AQ237" s="13">
        <v>0.085774</v>
      </c>
      <c r="AR237" s="13">
        <v>0.27145</v>
      </c>
      <c r="AS237" s="13">
        <v>5.84809132915726</v>
      </c>
      <c r="AT237" s="13">
        <f t="shared" si="26"/>
        <v>0.0464168537598946</v>
      </c>
      <c r="AU237" s="13">
        <v>1.31</v>
      </c>
      <c r="AV237" s="13">
        <f t="shared" si="27"/>
        <v>0.207213740458015</v>
      </c>
      <c r="AW237" s="13">
        <v>0.133667</v>
      </c>
      <c r="AX237" s="13">
        <v>0.03246</v>
      </c>
      <c r="AY237" s="13">
        <v>0.8155</v>
      </c>
      <c r="AZ237" s="13">
        <v>6.8432</v>
      </c>
      <c r="BA237" s="13">
        <v>0.00486867385588248</v>
      </c>
      <c r="BB237" s="13">
        <v>0.227245628561013</v>
      </c>
      <c r="BC237" s="13">
        <v>0.102419</v>
      </c>
    </row>
    <row r="238" spans="1:55">
      <c r="A238" s="8" t="s">
        <v>770</v>
      </c>
      <c r="B238" s="8" t="s">
        <v>771</v>
      </c>
      <c r="C238" s="8" t="s">
        <v>77</v>
      </c>
      <c r="D238" s="9">
        <v>163912</v>
      </c>
      <c r="E238" s="8" t="s">
        <v>132</v>
      </c>
      <c r="F238" s="8" t="s">
        <v>458</v>
      </c>
      <c r="G238" s="10">
        <v>1404293254642.25</v>
      </c>
      <c r="H238" s="10">
        <v>0</v>
      </c>
      <c r="I238" s="9">
        <v>8087787421</v>
      </c>
      <c r="J238" s="9">
        <v>17226159334</v>
      </c>
      <c r="K238" s="11">
        <v>75.8818</v>
      </c>
      <c r="L238" s="12">
        <v>40834</v>
      </c>
      <c r="M238" s="12">
        <v>40147</v>
      </c>
      <c r="N238" s="9">
        <f t="shared" si="21"/>
        <v>687</v>
      </c>
      <c r="O238" s="13">
        <v>53.05</v>
      </c>
      <c r="P238" s="13">
        <v>3.02</v>
      </c>
      <c r="Q238" s="13">
        <v>2.51</v>
      </c>
      <c r="R238" s="8" t="s">
        <v>772</v>
      </c>
      <c r="S238" s="13">
        <v>537394</v>
      </c>
      <c r="T238" s="13">
        <v>0.12695</v>
      </c>
      <c r="U238" s="13">
        <v>5.3255</v>
      </c>
      <c r="V238" s="13">
        <f t="shared" si="22"/>
        <v>0.0238381372641067</v>
      </c>
      <c r="W238" s="13">
        <v>0.6347</v>
      </c>
      <c r="X238" s="13">
        <f t="shared" si="23"/>
        <v>0.200015755475028</v>
      </c>
      <c r="Y238" s="13">
        <v>0.073681</v>
      </c>
      <c r="Z238" s="13">
        <v>0.02494</v>
      </c>
      <c r="AA238" s="13">
        <v>0.5195</v>
      </c>
      <c r="AB238" s="13">
        <v>7.49</v>
      </c>
      <c r="AC238" s="13">
        <v>0.0387</v>
      </c>
      <c r="AD238" s="13">
        <v>0.193</v>
      </c>
      <c r="AE238" s="13">
        <v>0.040516</v>
      </c>
      <c r="AF238" s="13">
        <v>0.12007</v>
      </c>
      <c r="AG238" s="13">
        <v>7.86808245061084</v>
      </c>
      <c r="AH238" s="13">
        <f t="shared" si="24"/>
        <v>0.0152603891422971</v>
      </c>
      <c r="AI238" s="13">
        <v>0.6828</v>
      </c>
      <c r="AJ238" s="13">
        <f t="shared" si="25"/>
        <v>0.175849443468073</v>
      </c>
      <c r="AK238" s="13">
        <v>0.082608</v>
      </c>
      <c r="AL238" s="13">
        <v>0.027391</v>
      </c>
      <c r="AM238" s="13">
        <v>0.5715</v>
      </c>
      <c r="AN238" s="13">
        <v>7.2385</v>
      </c>
      <c r="AO238" s="13">
        <v>0.0538439677547066</v>
      </c>
      <c r="AP238" s="13">
        <v>0.219082908887028</v>
      </c>
      <c r="AQ238" s="13">
        <v>0.012305</v>
      </c>
      <c r="AR238" s="13">
        <v>0.13649</v>
      </c>
      <c r="AS238" s="13">
        <v>6.41558736020872</v>
      </c>
      <c r="AT238" s="13">
        <f t="shared" si="26"/>
        <v>0.0212747473203388</v>
      </c>
      <c r="AU238" s="13">
        <v>0.6825</v>
      </c>
      <c r="AV238" s="13">
        <f t="shared" si="27"/>
        <v>0.199985347985348</v>
      </c>
      <c r="AW238" s="13">
        <v>0.08314</v>
      </c>
      <c r="AX238" s="13">
        <v>0.0282</v>
      </c>
      <c r="AY238" s="13">
        <v>0.5556</v>
      </c>
      <c r="AZ238" s="13">
        <v>7.0216</v>
      </c>
      <c r="BA238" s="13">
        <v>0.0365348798249589</v>
      </c>
      <c r="BB238" s="13">
        <v>0.183656442609708</v>
      </c>
      <c r="BC238" s="13">
        <v>0.064259</v>
      </c>
    </row>
    <row r="239" spans="1:55">
      <c r="A239" s="8" t="s">
        <v>773</v>
      </c>
      <c r="B239" s="8" t="s">
        <v>774</v>
      </c>
      <c r="C239" s="8" t="s">
        <v>89</v>
      </c>
      <c r="D239" s="9">
        <v>15027</v>
      </c>
      <c r="E239" s="8" t="s">
        <v>83</v>
      </c>
      <c r="F239" s="8" t="s">
        <v>59</v>
      </c>
      <c r="G239" s="10">
        <v>1025849025691.01</v>
      </c>
      <c r="H239" s="10">
        <v>0</v>
      </c>
      <c r="I239" s="9">
        <v>5241591846</v>
      </c>
      <c r="J239" s="9">
        <v>9026863786</v>
      </c>
      <c r="K239" s="11">
        <v>80.9446</v>
      </c>
      <c r="L239" s="12">
        <v>40235</v>
      </c>
      <c r="M239" s="12">
        <v>33337</v>
      </c>
      <c r="N239" s="9">
        <f t="shared" si="21"/>
        <v>6898</v>
      </c>
      <c r="O239" s="13">
        <v>15.22</v>
      </c>
      <c r="P239" s="13">
        <v>14.43</v>
      </c>
      <c r="Q239" s="13">
        <v>5.42</v>
      </c>
      <c r="R239" s="8" t="s">
        <v>775</v>
      </c>
      <c r="S239" s="13">
        <v>189461</v>
      </c>
      <c r="T239" s="13">
        <v>0.37</v>
      </c>
      <c r="U239" s="13">
        <v>15.6736</v>
      </c>
      <c r="V239" s="13">
        <f t="shared" si="22"/>
        <v>0.0236065741118824</v>
      </c>
      <c r="W239" s="13">
        <v>1.62</v>
      </c>
      <c r="X239" s="13">
        <f t="shared" si="23"/>
        <v>0.228395061728395</v>
      </c>
      <c r="Y239" s="13">
        <v>0.082804</v>
      </c>
      <c r="Z239" s="13">
        <v>0.374252</v>
      </c>
      <c r="AA239" s="13">
        <v>0.0482</v>
      </c>
      <c r="AB239" s="13">
        <v>4.6382</v>
      </c>
      <c r="AC239" s="13">
        <v>1.6439</v>
      </c>
      <c r="AD239" s="13"/>
      <c r="AE239" s="13">
        <v>0.133655</v>
      </c>
      <c r="AF239" s="13">
        <v>0.45</v>
      </c>
      <c r="AG239" s="13">
        <v>14.5645399542611</v>
      </c>
      <c r="AH239" s="13">
        <f t="shared" si="24"/>
        <v>0.0308969594242724</v>
      </c>
      <c r="AI239" s="13">
        <v>1.18</v>
      </c>
      <c r="AJ239" s="13">
        <f t="shared" si="25"/>
        <v>0.38135593220339</v>
      </c>
      <c r="AK239" s="13">
        <v>0.070509</v>
      </c>
      <c r="AL239" s="13">
        <v>0.354817</v>
      </c>
      <c r="AM239" s="13">
        <v>0.0388</v>
      </c>
      <c r="AN239" s="13">
        <v>5.2733</v>
      </c>
      <c r="AO239" s="13">
        <v>2.09682965136762</v>
      </c>
      <c r="AP239" s="13"/>
      <c r="AQ239" s="13">
        <v>-0.154961</v>
      </c>
      <c r="AR239" s="13">
        <v>0.43</v>
      </c>
      <c r="AS239" s="13">
        <v>14.9036204490551</v>
      </c>
      <c r="AT239" s="13">
        <f t="shared" si="26"/>
        <v>0.0288520498404978</v>
      </c>
      <c r="AU239" s="13">
        <v>1.35</v>
      </c>
      <c r="AV239" s="13">
        <f t="shared" si="27"/>
        <v>0.318518518518518</v>
      </c>
      <c r="AW239" s="13">
        <v>0.074089</v>
      </c>
      <c r="AX239" s="13">
        <v>0.3564</v>
      </c>
      <c r="AY239" s="13">
        <v>0.0418</v>
      </c>
      <c r="AZ239" s="13">
        <v>5.0903</v>
      </c>
      <c r="BA239" s="13">
        <v>-0.860043879314391</v>
      </c>
      <c r="BB239" s="13"/>
      <c r="BC239" s="13">
        <v>0.141923</v>
      </c>
    </row>
    <row r="240" spans="1:55">
      <c r="A240" s="8" t="s">
        <v>776</v>
      </c>
      <c r="B240" s="8" t="s">
        <v>777</v>
      </c>
      <c r="C240" s="8" t="s">
        <v>157</v>
      </c>
      <c r="D240" s="9">
        <v>22697</v>
      </c>
      <c r="E240" s="8" t="s">
        <v>165</v>
      </c>
      <c r="F240" s="8" t="s">
        <v>67</v>
      </c>
      <c r="G240" s="10">
        <v>41664583985.39</v>
      </c>
      <c r="H240" s="10">
        <v>0</v>
      </c>
      <c r="I240" s="9">
        <v>723001111</v>
      </c>
      <c r="J240" s="9">
        <v>1737835580</v>
      </c>
      <c r="K240" s="11">
        <v>100</v>
      </c>
      <c r="L240" s="12">
        <v>42082</v>
      </c>
      <c r="M240" s="12">
        <v>38099</v>
      </c>
      <c r="N240" s="9">
        <f t="shared" si="21"/>
        <v>3983</v>
      </c>
      <c r="O240" s="13">
        <v>57.88</v>
      </c>
      <c r="P240" s="13">
        <v>3.96</v>
      </c>
      <c r="Q240" s="13">
        <v>0.85</v>
      </c>
      <c r="R240" s="8" t="s">
        <v>778</v>
      </c>
      <c r="S240" s="13">
        <v>143714</v>
      </c>
      <c r="T240" s="13">
        <v>0.519</v>
      </c>
      <c r="U240" s="13">
        <v>50.3664</v>
      </c>
      <c r="V240" s="13">
        <f t="shared" si="22"/>
        <v>0.0103044887067569</v>
      </c>
      <c r="W240" s="13">
        <v>1.79</v>
      </c>
      <c r="X240" s="13">
        <f t="shared" si="23"/>
        <v>0.289944134078212</v>
      </c>
      <c r="Y240" s="13">
        <v>0.180029</v>
      </c>
      <c r="Z240" s="13">
        <v>0.112919</v>
      </c>
      <c r="AA240" s="13">
        <v>0.7788</v>
      </c>
      <c r="AB240" s="13">
        <v>2.0493</v>
      </c>
      <c r="AC240" s="13">
        <v>0.1217</v>
      </c>
      <c r="AD240" s="13">
        <v>0.3883</v>
      </c>
      <c r="AE240" s="13">
        <v>0.350232</v>
      </c>
      <c r="AF240" s="13">
        <v>0.463</v>
      </c>
      <c r="AG240" s="13">
        <v>64.2463782550009</v>
      </c>
      <c r="AH240" s="13">
        <f t="shared" si="24"/>
        <v>0.00720663191569029</v>
      </c>
      <c r="AI240" s="13">
        <v>1.54</v>
      </c>
      <c r="AJ240" s="13">
        <f t="shared" si="25"/>
        <v>0.300649350649351</v>
      </c>
      <c r="AK240" s="13">
        <v>0.149672</v>
      </c>
      <c r="AL240" s="13">
        <v>0.106233</v>
      </c>
      <c r="AM240" s="13">
        <v>0.6924</v>
      </c>
      <c r="AN240" s="13">
        <v>2.0333</v>
      </c>
      <c r="AO240" s="13">
        <v>0.142815328930563</v>
      </c>
      <c r="AP240" s="13">
        <v>0.333375420167755</v>
      </c>
      <c r="AQ240" s="13">
        <v>0.395206</v>
      </c>
      <c r="AR240" s="13">
        <v>0.556</v>
      </c>
      <c r="AS240" s="13">
        <v>67.028207016851</v>
      </c>
      <c r="AT240" s="13">
        <f t="shared" si="26"/>
        <v>0.0082950152591762</v>
      </c>
      <c r="AU240" s="13">
        <v>1.95</v>
      </c>
      <c r="AV240" s="13">
        <f t="shared" si="27"/>
        <v>0.285128205128205</v>
      </c>
      <c r="AW240" s="13">
        <v>0.165985</v>
      </c>
      <c r="AX240" s="13">
        <v>0.109135</v>
      </c>
      <c r="AY240" s="13">
        <v>0.6761</v>
      </c>
      <c r="AZ240" s="13">
        <v>2.249</v>
      </c>
      <c r="BA240" s="13">
        <v>0.170839265649256</v>
      </c>
      <c r="BB240" s="13">
        <v>0.330569388917661</v>
      </c>
      <c r="BC240" s="13">
        <v>0.231838</v>
      </c>
    </row>
    <row r="241" spans="1:55">
      <c r="A241" s="8" t="s">
        <v>779</v>
      </c>
      <c r="B241" s="8" t="s">
        <v>780</v>
      </c>
      <c r="C241" s="8" t="s">
        <v>77</v>
      </c>
      <c r="D241" s="9">
        <v>592</v>
      </c>
      <c r="E241" s="8" t="s">
        <v>132</v>
      </c>
      <c r="F241" s="8" t="s">
        <v>222</v>
      </c>
      <c r="G241" s="10">
        <v>23080826047.55</v>
      </c>
      <c r="H241" s="10">
        <v>0</v>
      </c>
      <c r="I241" s="9">
        <v>847604102</v>
      </c>
      <c r="J241" s="9">
        <v>4224385412</v>
      </c>
      <c r="K241" s="11">
        <v>100</v>
      </c>
      <c r="L241" s="12">
        <v>43644</v>
      </c>
      <c r="M241" s="12">
        <v>37222</v>
      </c>
      <c r="N241" s="9">
        <f t="shared" si="21"/>
        <v>6422</v>
      </c>
      <c r="O241" s="13">
        <v>62.77</v>
      </c>
      <c r="P241" s="13">
        <v>7.62</v>
      </c>
      <c r="Q241" s="13"/>
      <c r="R241" s="8"/>
      <c r="S241" s="13">
        <v>167160</v>
      </c>
      <c r="T241" s="13">
        <v>0.0323</v>
      </c>
      <c r="U241" s="13">
        <v>19.105</v>
      </c>
      <c r="V241" s="13">
        <f t="shared" si="22"/>
        <v>0.0016906568961005</v>
      </c>
      <c r="W241" s="13">
        <v>0.1076</v>
      </c>
      <c r="X241" s="13">
        <f t="shared" si="23"/>
        <v>0.300185873605948</v>
      </c>
      <c r="Y241" s="13">
        <v>0.029298</v>
      </c>
      <c r="Z241" s="13">
        <v>0.223452</v>
      </c>
      <c r="AA241" s="13">
        <v>0.1128</v>
      </c>
      <c r="AB241" s="13">
        <v>1.4526</v>
      </c>
      <c r="AC241" s="13">
        <v>0.7193</v>
      </c>
      <c r="AD241" s="13">
        <v>4.344</v>
      </c>
      <c r="AE241" s="13">
        <v>-0.028509</v>
      </c>
      <c r="AF241" s="13">
        <v>0.0436</v>
      </c>
      <c r="AG241" s="13">
        <v>11.8000369046073</v>
      </c>
      <c r="AH241" s="13">
        <f t="shared" si="24"/>
        <v>0.00369490369839237</v>
      </c>
      <c r="AI241" s="13">
        <v>0.2281</v>
      </c>
      <c r="AJ241" s="13">
        <f t="shared" si="25"/>
        <v>0.191144234984656</v>
      </c>
      <c r="AK241" s="13">
        <v>0.067919</v>
      </c>
      <c r="AL241" s="13">
        <v>0.396596</v>
      </c>
      <c r="AM241" s="13">
        <v>0.1316</v>
      </c>
      <c r="AN241" s="13">
        <v>1.532</v>
      </c>
      <c r="AO241" s="13">
        <v>0.538205403532354</v>
      </c>
      <c r="AP241" s="13">
        <v>3.44314403352791</v>
      </c>
      <c r="AQ241" s="13">
        <v>0.037619</v>
      </c>
      <c r="AR241" s="13">
        <v>0.0248</v>
      </c>
      <c r="AS241" s="13">
        <v>19.3761285843748</v>
      </c>
      <c r="AT241" s="13">
        <f t="shared" si="26"/>
        <v>0.00127992544496216</v>
      </c>
      <c r="AU241" s="13">
        <v>0.0826</v>
      </c>
      <c r="AV241" s="13">
        <f t="shared" si="27"/>
        <v>0.300242130750605</v>
      </c>
      <c r="AW241" s="13">
        <v>0.022941</v>
      </c>
      <c r="AX241" s="13">
        <v>0.194598</v>
      </c>
      <c r="AY241" s="13">
        <v>0.116</v>
      </c>
      <c r="AZ241" s="13">
        <v>1.4827</v>
      </c>
      <c r="BA241" s="13">
        <v>0.685354345696139</v>
      </c>
      <c r="BB241" s="13">
        <v>3.88919950652334</v>
      </c>
      <c r="BC241" s="13">
        <v>-0.04304</v>
      </c>
    </row>
    <row r="242" spans="1:55">
      <c r="A242" s="8" t="s">
        <v>781</v>
      </c>
      <c r="B242" s="8" t="s">
        <v>782</v>
      </c>
      <c r="C242" s="8" t="s">
        <v>77</v>
      </c>
      <c r="D242" s="9">
        <v>277674</v>
      </c>
      <c r="E242" s="8" t="s">
        <v>132</v>
      </c>
      <c r="F242" s="8" t="s">
        <v>222</v>
      </c>
      <c r="G242" s="10">
        <v>876049386119.96</v>
      </c>
      <c r="H242" s="10">
        <v>1</v>
      </c>
      <c r="I242" s="9">
        <v>14359126872</v>
      </c>
      <c r="J242" s="9">
        <v>91507138699</v>
      </c>
      <c r="K242" s="11">
        <v>84.8346</v>
      </c>
      <c r="L242" s="12">
        <v>44428</v>
      </c>
      <c r="M242" s="12">
        <v>37509</v>
      </c>
      <c r="N242" s="9">
        <f t="shared" si="21"/>
        <v>6919</v>
      </c>
      <c r="O242" s="13">
        <v>63.9</v>
      </c>
      <c r="P242" s="13">
        <v>15.1</v>
      </c>
      <c r="Q242" s="13">
        <v>5.24</v>
      </c>
      <c r="R242" s="8" t="s">
        <v>783</v>
      </c>
      <c r="S242" s="13">
        <v>273723</v>
      </c>
      <c r="T242" s="13">
        <v>0.0927</v>
      </c>
      <c r="U242" s="13">
        <v>6.1642</v>
      </c>
      <c r="V242" s="13">
        <f t="shared" si="22"/>
        <v>0.0150384478115571</v>
      </c>
      <c r="W242" s="13">
        <v>0.36</v>
      </c>
      <c r="X242" s="13">
        <f t="shared" si="23"/>
        <v>0.2575</v>
      </c>
      <c r="Y242" s="13">
        <v>0.073744</v>
      </c>
      <c r="Z242" s="13">
        <v>0.062981</v>
      </c>
      <c r="AA242" s="13">
        <v>0.6151</v>
      </c>
      <c r="AB242" s="13">
        <v>1.9015</v>
      </c>
      <c r="AC242" s="13">
        <v>0.2775</v>
      </c>
      <c r="AD242" s="13">
        <v>0.3234</v>
      </c>
      <c r="AE242" s="13">
        <v>0.030967</v>
      </c>
      <c r="AF242" s="13">
        <v>0.076</v>
      </c>
      <c r="AG242" s="13">
        <v>4.05688487821368</v>
      </c>
      <c r="AH242" s="13">
        <f t="shared" si="24"/>
        <v>0.0187335855666341</v>
      </c>
      <c r="AI242" s="13">
        <v>0.3</v>
      </c>
      <c r="AJ242" s="13">
        <f t="shared" si="25"/>
        <v>0.253333333333333</v>
      </c>
      <c r="AK242" s="13">
        <v>0.064113</v>
      </c>
      <c r="AL242" s="13">
        <v>0.05827</v>
      </c>
      <c r="AM242" s="13">
        <v>0.6051</v>
      </c>
      <c r="AN242" s="13">
        <v>1.8239</v>
      </c>
      <c r="AO242" s="13">
        <v>0.28890197717481</v>
      </c>
      <c r="AP242" s="13">
        <v>0.275640160250717</v>
      </c>
      <c r="AQ242" s="13">
        <v>0.093992</v>
      </c>
      <c r="AR242" s="13">
        <v>0.09</v>
      </c>
      <c r="AS242" s="13">
        <v>6.02747975136153</v>
      </c>
      <c r="AT242" s="13">
        <f t="shared" si="26"/>
        <v>0.0149316138274326</v>
      </c>
      <c r="AU242" s="13">
        <v>0.33</v>
      </c>
      <c r="AV242" s="13">
        <f t="shared" si="27"/>
        <v>0.272727272727273</v>
      </c>
      <c r="AW242" s="13">
        <v>0.069589</v>
      </c>
      <c r="AX242" s="13">
        <v>0.059917</v>
      </c>
      <c r="AY242" s="13">
        <v>0.618</v>
      </c>
      <c r="AZ242" s="13">
        <v>1.8783</v>
      </c>
      <c r="BA242" s="13">
        <v>0.272964572653213</v>
      </c>
      <c r="BB242" s="13">
        <v>0.309960857990729</v>
      </c>
      <c r="BC242" s="13">
        <v>0.069216</v>
      </c>
    </row>
    <row r="243" spans="1:55">
      <c r="A243" s="8" t="s">
        <v>784</v>
      </c>
      <c r="B243" s="8" t="s">
        <v>785</v>
      </c>
      <c r="C243" s="8" t="s">
        <v>77</v>
      </c>
      <c r="D243" s="9">
        <v>152082</v>
      </c>
      <c r="E243" s="8" t="s">
        <v>132</v>
      </c>
      <c r="F243" s="8" t="s">
        <v>67</v>
      </c>
      <c r="G243" s="10">
        <v>569815152000</v>
      </c>
      <c r="H243" s="10">
        <v>0</v>
      </c>
      <c r="I243" s="9">
        <v>9740219798</v>
      </c>
      <c r="J243" s="9">
        <v>28698864088</v>
      </c>
      <c r="K243" s="11">
        <v>84.7692</v>
      </c>
      <c r="L243" s="12">
        <v>39678</v>
      </c>
      <c r="M243" s="12">
        <v>39444</v>
      </c>
      <c r="N243" s="9">
        <f t="shared" si="21"/>
        <v>234</v>
      </c>
      <c r="O243" s="13">
        <v>50.83</v>
      </c>
      <c r="P243" s="13">
        <v>15.19</v>
      </c>
      <c r="Q243" s="13">
        <v>2.11</v>
      </c>
      <c r="R243" s="8" t="s">
        <v>786</v>
      </c>
      <c r="S243" s="13">
        <v>498219</v>
      </c>
      <c r="T243" s="13">
        <v>0.21</v>
      </c>
      <c r="U243" s="13">
        <v>7.3463</v>
      </c>
      <c r="V243" s="13">
        <f t="shared" si="22"/>
        <v>0.0285858187114602</v>
      </c>
      <c r="W243" s="13">
        <v>0.43</v>
      </c>
      <c r="X243" s="13">
        <f t="shared" si="23"/>
        <v>0.488372093023256</v>
      </c>
      <c r="Y243" s="13">
        <v>0.075133</v>
      </c>
      <c r="Z243" s="13">
        <v>0.063556</v>
      </c>
      <c r="AA243" s="13">
        <v>0.5006</v>
      </c>
      <c r="AB243" s="13">
        <v>2.986</v>
      </c>
      <c r="AC243" s="13">
        <v>0.1101</v>
      </c>
      <c r="AD243" s="13">
        <v>0.3126</v>
      </c>
      <c r="AE243" s="13">
        <v>0.052058</v>
      </c>
      <c r="AF243" s="13">
        <v>0.2</v>
      </c>
      <c r="AG243" s="13">
        <v>5.35037963058244</v>
      </c>
      <c r="AH243" s="13">
        <f t="shared" si="24"/>
        <v>0.0373805250858859</v>
      </c>
      <c r="AI243" s="13">
        <v>0.41</v>
      </c>
      <c r="AJ243" s="13">
        <f t="shared" si="25"/>
        <v>0.487804878048781</v>
      </c>
      <c r="AK243" s="13">
        <v>0.076764</v>
      </c>
      <c r="AL243" s="13">
        <v>0.064377</v>
      </c>
      <c r="AM243" s="13">
        <v>0.5131</v>
      </c>
      <c r="AN243" s="13">
        <v>2.8621</v>
      </c>
      <c r="AO243" s="13">
        <v>0.107443089822066</v>
      </c>
      <c r="AP243" s="13">
        <v>0.37322391397141</v>
      </c>
      <c r="AQ243" s="13">
        <v>-0.012374</v>
      </c>
      <c r="AR243" s="13">
        <v>0.2</v>
      </c>
      <c r="AS243" s="13">
        <v>6.16827724625311</v>
      </c>
      <c r="AT243" s="13">
        <f t="shared" si="26"/>
        <v>0.0324239641014011</v>
      </c>
      <c r="AU243" s="13">
        <v>0.41</v>
      </c>
      <c r="AV243" s="13">
        <f t="shared" si="27"/>
        <v>0.487804878048781</v>
      </c>
      <c r="AW243" s="13">
        <v>0.07412</v>
      </c>
      <c r="AX243" s="13">
        <v>0.062194</v>
      </c>
      <c r="AY243" s="13">
        <v>0.5126</v>
      </c>
      <c r="AZ243" s="13">
        <v>2.8921</v>
      </c>
      <c r="BA243" s="13">
        <v>0.0628426571169518</v>
      </c>
      <c r="BB243" s="13">
        <v>0.306326548374313</v>
      </c>
      <c r="BC243" s="13">
        <v>0.050789</v>
      </c>
    </row>
    <row r="244" spans="1:55">
      <c r="A244" s="8" t="s">
        <v>787</v>
      </c>
      <c r="B244" s="8" t="s">
        <v>788</v>
      </c>
      <c r="C244" s="8" t="s">
        <v>77</v>
      </c>
      <c r="D244" s="9">
        <v>7640</v>
      </c>
      <c r="E244" s="8" t="s">
        <v>198</v>
      </c>
      <c r="F244" s="8" t="s">
        <v>59</v>
      </c>
      <c r="G244" s="10">
        <v>305436284297.85</v>
      </c>
      <c r="H244" s="10">
        <v>0</v>
      </c>
      <c r="I244" s="9">
        <v>1791225656</v>
      </c>
      <c r="J244" s="9">
        <v>4610787639</v>
      </c>
      <c r="K244" s="11">
        <v>84.7295</v>
      </c>
      <c r="L244" s="12">
        <v>40043</v>
      </c>
      <c r="M244" s="12">
        <v>35178</v>
      </c>
      <c r="N244" s="9">
        <f t="shared" si="21"/>
        <v>4865</v>
      </c>
      <c r="O244" s="13">
        <v>25.15</v>
      </c>
      <c r="P244" s="13">
        <v>20.73</v>
      </c>
      <c r="Q244" s="13">
        <v>15.26</v>
      </c>
      <c r="R244" s="8" t="s">
        <v>789</v>
      </c>
      <c r="S244" s="13">
        <v>180487</v>
      </c>
      <c r="T244" s="13">
        <v>0.1086</v>
      </c>
      <c r="U244" s="13">
        <v>17.5542</v>
      </c>
      <c r="V244" s="13">
        <f t="shared" si="22"/>
        <v>0.00618655364528147</v>
      </c>
      <c r="W244" s="13">
        <v>0.58</v>
      </c>
      <c r="X244" s="13">
        <f t="shared" si="23"/>
        <v>0.187241379310345</v>
      </c>
      <c r="Y244" s="13">
        <v>0.04515</v>
      </c>
      <c r="Z244" s="13">
        <v>0.321479</v>
      </c>
      <c r="AA244" s="13">
        <v>0.0347</v>
      </c>
      <c r="AB244" s="13">
        <v>4.0786</v>
      </c>
      <c r="AC244" s="13">
        <v>3.7904</v>
      </c>
      <c r="AD244" s="13"/>
      <c r="AE244" s="13">
        <v>-0.043176</v>
      </c>
      <c r="AF244" s="13">
        <v>0.21</v>
      </c>
      <c r="AG244" s="13">
        <v>15.4865092844237</v>
      </c>
      <c r="AH244" s="13">
        <f t="shared" si="24"/>
        <v>0.0135601894618833</v>
      </c>
      <c r="AI244" s="13">
        <v>0.61</v>
      </c>
      <c r="AJ244" s="13">
        <f t="shared" si="25"/>
        <v>0.344262295081967</v>
      </c>
      <c r="AK244" s="13">
        <v>0.052335</v>
      </c>
      <c r="AL244" s="13">
        <v>0.300623</v>
      </c>
      <c r="AM244" s="13">
        <v>0.0433</v>
      </c>
      <c r="AN244" s="13">
        <v>4.0819</v>
      </c>
      <c r="AO244" s="13">
        <v>1.7003743919264</v>
      </c>
      <c r="AP244" s="13"/>
      <c r="AQ244" s="13">
        <v>-0.354764</v>
      </c>
      <c r="AR244" s="13">
        <v>0.2803</v>
      </c>
      <c r="AS244" s="13">
        <v>16.6333055740506</v>
      </c>
      <c r="AT244" s="13">
        <f t="shared" si="26"/>
        <v>0.01685173153058</v>
      </c>
      <c r="AU244" s="13">
        <v>0.84</v>
      </c>
      <c r="AV244" s="13">
        <f t="shared" si="27"/>
        <v>0.333690476190476</v>
      </c>
      <c r="AW244" s="13">
        <v>0.065162</v>
      </c>
      <c r="AX244" s="13">
        <v>0.428712</v>
      </c>
      <c r="AY244" s="13">
        <v>0.0387</v>
      </c>
      <c r="AZ244" s="13">
        <v>3.9511</v>
      </c>
      <c r="BA244" s="13">
        <v>1.55324275125842</v>
      </c>
      <c r="BB244" s="13"/>
      <c r="BC244" s="13">
        <v>-0.069411</v>
      </c>
    </row>
    <row r="245" spans="1:55">
      <c r="A245" s="8" t="s">
        <v>790</v>
      </c>
      <c r="B245" s="8" t="s">
        <v>791</v>
      </c>
      <c r="C245" s="8" t="s">
        <v>77</v>
      </c>
      <c r="D245" s="9">
        <v>137471</v>
      </c>
      <c r="E245" s="8" t="s">
        <v>132</v>
      </c>
      <c r="F245" s="8" t="s">
        <v>458</v>
      </c>
      <c r="G245" s="10">
        <v>2039673083990</v>
      </c>
      <c r="H245" s="10">
        <v>1</v>
      </c>
      <c r="I245" s="9">
        <v>2403820621</v>
      </c>
      <c r="J245" s="9">
        <v>16274644225</v>
      </c>
      <c r="K245" s="11">
        <v>72.3729</v>
      </c>
      <c r="L245" s="12">
        <v>40977</v>
      </c>
      <c r="M245" s="12">
        <v>38998</v>
      </c>
      <c r="N245" s="9">
        <f t="shared" si="21"/>
        <v>1979</v>
      </c>
      <c r="O245" s="13">
        <v>57.59</v>
      </c>
      <c r="P245" s="13">
        <v>26.91</v>
      </c>
      <c r="Q245" s="13">
        <v>2.97</v>
      </c>
      <c r="R245" s="8" t="s">
        <v>792</v>
      </c>
      <c r="S245" s="13">
        <v>167178</v>
      </c>
      <c r="T245" s="13">
        <v>0.16161</v>
      </c>
      <c r="U245" s="13">
        <v>9.2821</v>
      </c>
      <c r="V245" s="13">
        <f t="shared" si="22"/>
        <v>0.0174109307161095</v>
      </c>
      <c r="W245" s="13">
        <v>1.37</v>
      </c>
      <c r="X245" s="13">
        <f t="shared" si="23"/>
        <v>0.117963503649635</v>
      </c>
      <c r="Y245" s="13">
        <v>0.076026</v>
      </c>
      <c r="Z245" s="13">
        <v>0.039312</v>
      </c>
      <c r="AA245" s="13">
        <v>0.4358</v>
      </c>
      <c r="AB245" s="13">
        <v>5.7587</v>
      </c>
      <c r="AC245" s="13">
        <v>0.0162</v>
      </c>
      <c r="AD245" s="13">
        <v>0.1666</v>
      </c>
      <c r="AE245" s="13">
        <v>0.017431</v>
      </c>
      <c r="AF245" s="13">
        <v>0.21707</v>
      </c>
      <c r="AG245" s="13">
        <v>9.14719540087072</v>
      </c>
      <c r="AH245" s="13">
        <f t="shared" si="24"/>
        <v>0.0237307710710255</v>
      </c>
      <c r="AI245" s="13">
        <v>1.09</v>
      </c>
      <c r="AJ245" s="13">
        <f t="shared" si="25"/>
        <v>0.199146788990826</v>
      </c>
      <c r="AK245" s="13">
        <v>0.070452</v>
      </c>
      <c r="AL245" s="13">
        <v>0.034355</v>
      </c>
      <c r="AM245" s="13">
        <v>0.4964</v>
      </c>
      <c r="AN245" s="13">
        <v>5.3514</v>
      </c>
      <c r="AO245" s="13">
        <v>0.000614059702212219</v>
      </c>
      <c r="AP245" s="13">
        <v>0.176882397460655</v>
      </c>
      <c r="AQ245" s="13">
        <v>0.050221</v>
      </c>
      <c r="AR245" s="13">
        <v>0.29256</v>
      </c>
      <c r="AS245" s="13">
        <v>10.2065034228303</v>
      </c>
      <c r="AT245" s="13">
        <f t="shared" si="26"/>
        <v>0.0286640769987487</v>
      </c>
      <c r="AU245" s="13">
        <v>1.39</v>
      </c>
      <c r="AV245" s="13">
        <f t="shared" si="27"/>
        <v>0.210474820143885</v>
      </c>
      <c r="AW245" s="13">
        <v>0.081587</v>
      </c>
      <c r="AX245" s="13">
        <v>0.039838</v>
      </c>
      <c r="AY245" s="13">
        <v>0.4748</v>
      </c>
      <c r="AZ245" s="13">
        <v>5.4746</v>
      </c>
      <c r="BA245" s="13">
        <v>0.0159148981970327</v>
      </c>
      <c r="BB245" s="13">
        <v>0.162138397865932</v>
      </c>
      <c r="BC245" s="13">
        <v>0.050962</v>
      </c>
    </row>
    <row r="246" spans="1:55">
      <c r="A246" s="8" t="s">
        <v>793</v>
      </c>
      <c r="B246" s="8" t="s">
        <v>794</v>
      </c>
      <c r="C246" s="8" t="s">
        <v>77</v>
      </c>
      <c r="D246" s="9">
        <v>15509</v>
      </c>
      <c r="E246" s="8" t="s">
        <v>188</v>
      </c>
      <c r="F246" s="8" t="s">
        <v>171</v>
      </c>
      <c r="G246" s="10">
        <v>83902243153</v>
      </c>
      <c r="H246" s="10">
        <v>0</v>
      </c>
      <c r="I246" s="9">
        <v>549620700</v>
      </c>
      <c r="J246" s="9">
        <v>4771592000</v>
      </c>
      <c r="K246" s="11">
        <v>62.0436</v>
      </c>
      <c r="L246" s="12">
        <v>39353</v>
      </c>
      <c r="M246" s="12">
        <v>37250</v>
      </c>
      <c r="N246" s="9">
        <f t="shared" si="21"/>
        <v>2103</v>
      </c>
      <c r="O246" s="13">
        <v>50.86</v>
      </c>
      <c r="P246" s="13">
        <v>37.58</v>
      </c>
      <c r="Q246" s="13">
        <v>2.89</v>
      </c>
      <c r="R246" s="8" t="s">
        <v>795</v>
      </c>
      <c r="S246" s="13">
        <v>64018</v>
      </c>
      <c r="T246" s="13">
        <v>0.2306</v>
      </c>
      <c r="U246" s="13">
        <v>16.1215</v>
      </c>
      <c r="V246" s="13">
        <f t="shared" si="22"/>
        <v>0.0143038799119189</v>
      </c>
      <c r="W246" s="13">
        <v>0.6574</v>
      </c>
      <c r="X246" s="13">
        <f t="shared" si="23"/>
        <v>0.350775783389109</v>
      </c>
      <c r="Y246" s="13">
        <v>0.073431</v>
      </c>
      <c r="Z246" s="13">
        <v>0.070373</v>
      </c>
      <c r="AA246" s="13">
        <v>0.5813</v>
      </c>
      <c r="AB246" s="13">
        <v>1.9451</v>
      </c>
      <c r="AC246" s="13">
        <v>0.2281</v>
      </c>
      <c r="AD246" s="13">
        <v>0.3893</v>
      </c>
      <c r="AE246" s="13">
        <v>0.09506</v>
      </c>
      <c r="AF246" s="13">
        <v>0.16</v>
      </c>
      <c r="AG246" s="13">
        <v>15.0716300781555</v>
      </c>
      <c r="AH246" s="13">
        <f t="shared" si="24"/>
        <v>0.0106159718073164</v>
      </c>
      <c r="AI246" s="13">
        <v>0.493</v>
      </c>
      <c r="AJ246" s="13">
        <f t="shared" si="25"/>
        <v>0.324543610547667</v>
      </c>
      <c r="AK246" s="13">
        <v>0.06082</v>
      </c>
      <c r="AL246" s="13">
        <v>0.069916</v>
      </c>
      <c r="AM246" s="13">
        <v>0.4739</v>
      </c>
      <c r="AN246" s="13">
        <v>1.9453</v>
      </c>
      <c r="AO246" s="13">
        <v>0.193496915596168</v>
      </c>
      <c r="AP246" s="13">
        <v>0.434439654905111</v>
      </c>
      <c r="AQ246" s="13">
        <v>0.22107</v>
      </c>
      <c r="AR246" s="13">
        <v>0.21</v>
      </c>
      <c r="AS246" s="13">
        <v>15.5075538034223</v>
      </c>
      <c r="AT246" s="13">
        <f t="shared" si="26"/>
        <v>0.0135417876127991</v>
      </c>
      <c r="AU246" s="13">
        <v>0.6315</v>
      </c>
      <c r="AV246" s="13">
        <f t="shared" si="27"/>
        <v>0.332541567695962</v>
      </c>
      <c r="AW246" s="13">
        <v>0.074425</v>
      </c>
      <c r="AX246" s="13">
        <v>0.074421</v>
      </c>
      <c r="AY246" s="13">
        <v>0.5499</v>
      </c>
      <c r="AZ246" s="13">
        <v>1.9812</v>
      </c>
      <c r="BA246" s="13">
        <v>0.296901267326376</v>
      </c>
      <c r="BB246" s="13">
        <v>0.477487287225925</v>
      </c>
      <c r="BC246" s="13">
        <v>0.23696</v>
      </c>
    </row>
    <row r="247" spans="1:55">
      <c r="A247" s="8" t="s">
        <v>796</v>
      </c>
      <c r="B247" s="8" t="s">
        <v>797</v>
      </c>
      <c r="C247" s="8" t="s">
        <v>77</v>
      </c>
      <c r="D247" s="9">
        <v>86</v>
      </c>
      <c r="E247" s="8" t="s">
        <v>132</v>
      </c>
      <c r="F247" s="8" t="s">
        <v>184</v>
      </c>
      <c r="G247" s="10">
        <v>287855013882.24</v>
      </c>
      <c r="H247" s="10">
        <v>0</v>
      </c>
      <c r="I247" s="9">
        <v>24556976065</v>
      </c>
      <c r="J247" s="9">
        <v>48925679370</v>
      </c>
      <c r="K247" s="11">
        <v>100</v>
      </c>
      <c r="L247" s="12">
        <v>43846</v>
      </c>
      <c r="M247" s="12">
        <v>39456</v>
      </c>
      <c r="N247" s="9">
        <f t="shared" si="21"/>
        <v>4390</v>
      </c>
      <c r="O247" s="13">
        <v>43.55</v>
      </c>
      <c r="P247" s="13">
        <v>6.26</v>
      </c>
      <c r="Q247" s="13">
        <v>4.79</v>
      </c>
      <c r="R247" s="8" t="s">
        <v>798</v>
      </c>
      <c r="S247" s="13">
        <v>203921</v>
      </c>
      <c r="T247" s="13">
        <v>0.1182</v>
      </c>
      <c r="U247" s="13">
        <v>5.4841</v>
      </c>
      <c r="V247" s="13">
        <f t="shared" si="22"/>
        <v>0.0215532174832698</v>
      </c>
      <c r="W247" s="13">
        <v>0.26</v>
      </c>
      <c r="X247" s="13">
        <f t="shared" si="23"/>
        <v>0.454615384615385</v>
      </c>
      <c r="Y247" s="13">
        <v>0.064263</v>
      </c>
      <c r="Z247" s="13">
        <v>0.300576</v>
      </c>
      <c r="AA247" s="13">
        <v>0.1462</v>
      </c>
      <c r="AB247" s="13">
        <v>1.4517</v>
      </c>
      <c r="AC247" s="13">
        <v>0.476</v>
      </c>
      <c r="AD247" s="13">
        <v>1.2476</v>
      </c>
      <c r="AE247" s="13">
        <v>0.036241</v>
      </c>
      <c r="AF247" s="13">
        <v>0.0114</v>
      </c>
      <c r="AG247" s="13">
        <v>4.82934711722329</v>
      </c>
      <c r="AH247" s="13">
        <f t="shared" si="24"/>
        <v>0.00236056753082487</v>
      </c>
      <c r="AI247" s="13">
        <v>-0.0117</v>
      </c>
      <c r="AJ247" s="13">
        <f t="shared" si="25"/>
        <v>-0.974358974358974</v>
      </c>
      <c r="AK247" s="13">
        <v>-0.003107</v>
      </c>
      <c r="AL247" s="13">
        <v>-0.080281</v>
      </c>
      <c r="AM247" s="13">
        <v>0.0662</v>
      </c>
      <c r="AN247" s="13">
        <v>1.5742</v>
      </c>
      <c r="AO247" s="13">
        <v>0.351739729898769</v>
      </c>
      <c r="AP247" s="13">
        <v>0.573926835175369</v>
      </c>
      <c r="AQ247" s="13">
        <v>-0.340187</v>
      </c>
      <c r="AR247" s="13">
        <v>0.1116</v>
      </c>
      <c r="AS247" s="13">
        <v>5.23084133605389</v>
      </c>
      <c r="AT247" s="13">
        <f t="shared" si="26"/>
        <v>0.021335000018217</v>
      </c>
      <c r="AU247" s="13">
        <v>0.2351</v>
      </c>
      <c r="AV247" s="13">
        <f t="shared" si="27"/>
        <v>0.474691620586984</v>
      </c>
      <c r="AW247" s="13">
        <v>0.060931</v>
      </c>
      <c r="AX247" s="13">
        <v>0.275481</v>
      </c>
      <c r="AY247" s="13">
        <v>0.1401</v>
      </c>
      <c r="AZ247" s="13">
        <v>1.5325</v>
      </c>
      <c r="BA247" s="13">
        <v>0.518173066766199</v>
      </c>
      <c r="BB247" s="13">
        <v>0.875645511382745</v>
      </c>
      <c r="BC247" s="13">
        <v>1.104026</v>
      </c>
    </row>
    <row r="248" spans="1:55">
      <c r="A248" s="8" t="s">
        <v>799</v>
      </c>
      <c r="B248" s="8" t="s">
        <v>800</v>
      </c>
      <c r="C248" s="8" t="s">
        <v>77</v>
      </c>
      <c r="D248" s="9">
        <v>47520</v>
      </c>
      <c r="E248" s="8" t="s">
        <v>132</v>
      </c>
      <c r="F248" s="8" t="s">
        <v>59</v>
      </c>
      <c r="G248" s="10">
        <v>7217717000000</v>
      </c>
      <c r="H248" s="10">
        <v>0</v>
      </c>
      <c r="I248" s="9">
        <v>15747050464</v>
      </c>
      <c r="J248" s="9">
        <v>59085551061</v>
      </c>
      <c r="K248" s="11">
        <v>78.5417</v>
      </c>
      <c r="L248" s="12">
        <v>40408</v>
      </c>
      <c r="M248" s="12">
        <v>33773</v>
      </c>
      <c r="N248" s="9">
        <f t="shared" si="21"/>
        <v>6635</v>
      </c>
      <c r="O248" s="13">
        <v>44.25</v>
      </c>
      <c r="P248" s="13">
        <v>9</v>
      </c>
      <c r="Q248" s="13">
        <v>8.87</v>
      </c>
      <c r="R248" s="8"/>
      <c r="S248" s="13">
        <v>179435</v>
      </c>
      <c r="T248" s="13">
        <v>0.085</v>
      </c>
      <c r="U248" s="13">
        <v>3.2944</v>
      </c>
      <c r="V248" s="13">
        <f t="shared" si="22"/>
        <v>0.0258013598834386</v>
      </c>
      <c r="W248" s="13">
        <v>0.62</v>
      </c>
      <c r="X248" s="13">
        <f t="shared" si="23"/>
        <v>0.137096774193548</v>
      </c>
      <c r="Y248" s="13">
        <v>0.073145</v>
      </c>
      <c r="Z248" s="13">
        <v>0.3095</v>
      </c>
      <c r="AA248" s="13">
        <v>0.0197</v>
      </c>
      <c r="AB248" s="13">
        <v>12.0445</v>
      </c>
      <c r="AC248" s="13">
        <v>-1.5124</v>
      </c>
      <c r="AD248" s="13"/>
      <c r="AE248" s="13">
        <v>-0.070495</v>
      </c>
      <c r="AF248" s="13">
        <v>0.19</v>
      </c>
      <c r="AG248" s="13">
        <v>3.14217711609228</v>
      </c>
      <c r="AH248" s="13">
        <f t="shared" si="24"/>
        <v>0.0604676289655787</v>
      </c>
      <c r="AI248" s="13">
        <v>0.74</v>
      </c>
      <c r="AJ248" s="13">
        <f t="shared" si="25"/>
        <v>0.256756756756757</v>
      </c>
      <c r="AK248" s="13">
        <v>0.090485</v>
      </c>
      <c r="AL248" s="13">
        <v>0.297035</v>
      </c>
      <c r="AM248" s="13">
        <v>0.0249</v>
      </c>
      <c r="AN248" s="13">
        <v>12.3212</v>
      </c>
      <c r="AO248" s="13">
        <v>-0.371939959902923</v>
      </c>
      <c r="AP248" s="13"/>
      <c r="AQ248" s="13">
        <v>-0.007326</v>
      </c>
      <c r="AR248" s="13">
        <v>0.173</v>
      </c>
      <c r="AS248" s="13">
        <v>3.11082009418209</v>
      </c>
      <c r="AT248" s="13">
        <f t="shared" si="26"/>
        <v>0.0556123449001592</v>
      </c>
      <c r="AU248" s="13">
        <v>0.62</v>
      </c>
      <c r="AV248" s="13">
        <f t="shared" si="27"/>
        <v>0.279032258064516</v>
      </c>
      <c r="AW248" s="13">
        <v>0.076946</v>
      </c>
      <c r="AX248" s="13">
        <v>0.281951</v>
      </c>
      <c r="AY248" s="13">
        <v>0.0223</v>
      </c>
      <c r="AZ248" s="13">
        <v>12.3301</v>
      </c>
      <c r="BA248" s="13">
        <v>-0.0248069464941483</v>
      </c>
      <c r="BB248" s="13"/>
      <c r="BC248" s="13">
        <v>-0.03922</v>
      </c>
    </row>
    <row r="249" spans="1:55">
      <c r="A249" s="8" t="s">
        <v>801</v>
      </c>
      <c r="B249" s="8" t="s">
        <v>802</v>
      </c>
      <c r="C249" s="8" t="s">
        <v>89</v>
      </c>
      <c r="D249" s="9">
        <v>11598</v>
      </c>
      <c r="E249" s="8" t="s">
        <v>198</v>
      </c>
      <c r="F249" s="8" t="s">
        <v>59</v>
      </c>
      <c r="G249" s="10">
        <v>1558094380000</v>
      </c>
      <c r="H249" s="10">
        <v>6</v>
      </c>
      <c r="I249" s="9">
        <v>5567458381</v>
      </c>
      <c r="J249" s="9">
        <v>9644444445</v>
      </c>
      <c r="K249" s="11">
        <v>97.2004</v>
      </c>
      <c r="L249" s="12">
        <v>44427</v>
      </c>
      <c r="M249" s="12">
        <v>38587</v>
      </c>
      <c r="N249" s="9">
        <f t="shared" si="21"/>
        <v>5840</v>
      </c>
      <c r="O249" s="13">
        <v>9.29</v>
      </c>
      <c r="P249" s="13">
        <v>8.29</v>
      </c>
      <c r="Q249" s="13">
        <v>8.29</v>
      </c>
      <c r="R249" s="8" t="s">
        <v>803</v>
      </c>
      <c r="S249" s="13">
        <v>74002</v>
      </c>
      <c r="T249" s="13">
        <v>0.193</v>
      </c>
      <c r="U249" s="13">
        <v>7.1424</v>
      </c>
      <c r="V249" s="13">
        <f t="shared" si="22"/>
        <v>0.027021729390681</v>
      </c>
      <c r="W249" s="13">
        <v>1.27</v>
      </c>
      <c r="X249" s="13">
        <f t="shared" si="23"/>
        <v>0.151968503937008</v>
      </c>
      <c r="Y249" s="13">
        <v>0.104021</v>
      </c>
      <c r="Z249" s="13">
        <v>0.473235</v>
      </c>
      <c r="AA249" s="13">
        <v>0.0185</v>
      </c>
      <c r="AB249" s="13">
        <v>12.1899</v>
      </c>
      <c r="AC249" s="13">
        <v>1.9219</v>
      </c>
      <c r="AD249" s="13"/>
      <c r="AE249" s="13">
        <v>0.008615</v>
      </c>
      <c r="AF249" s="13">
        <v>0.342</v>
      </c>
      <c r="AG249" s="13">
        <v>6.15167779358202</v>
      </c>
      <c r="AH249" s="13">
        <f t="shared" si="24"/>
        <v>0.0555945892284549</v>
      </c>
      <c r="AI249" s="13">
        <v>1.14</v>
      </c>
      <c r="AJ249" s="13">
        <f t="shared" si="25"/>
        <v>0.3</v>
      </c>
      <c r="AK249" s="13">
        <v>0.112211</v>
      </c>
      <c r="AL249" s="13">
        <v>0.444572</v>
      </c>
      <c r="AM249" s="13">
        <v>0.021</v>
      </c>
      <c r="AN249" s="13">
        <v>12.4732</v>
      </c>
      <c r="AO249" s="13">
        <v>4.87882021768218</v>
      </c>
      <c r="AP249" s="13"/>
      <c r="AQ249" s="13">
        <v>0.060542</v>
      </c>
      <c r="AR249" s="13">
        <v>0.379</v>
      </c>
      <c r="AS249" s="13">
        <v>5.89800065460883</v>
      </c>
      <c r="AT249" s="13">
        <f t="shared" si="26"/>
        <v>0.0642590637394794</v>
      </c>
      <c r="AU249" s="13">
        <v>1.26</v>
      </c>
      <c r="AV249" s="13">
        <f t="shared" si="27"/>
        <v>0.300793650793651</v>
      </c>
      <c r="AW249" s="13">
        <v>0.113338</v>
      </c>
      <c r="AX249" s="13">
        <v>0.47276</v>
      </c>
      <c r="AY249" s="13">
        <v>0.0198</v>
      </c>
      <c r="AZ249" s="13">
        <v>12.4783</v>
      </c>
      <c r="BA249" s="13">
        <v>1.48280720553705</v>
      </c>
      <c r="BB249" s="13"/>
      <c r="BC249" s="13">
        <v>0.030691</v>
      </c>
    </row>
    <row r="250" spans="1:55">
      <c r="A250" s="8" t="s">
        <v>804</v>
      </c>
      <c r="B250" s="8" t="s">
        <v>805</v>
      </c>
      <c r="C250" s="8" t="s">
        <v>89</v>
      </c>
      <c r="D250" s="9">
        <v>7747</v>
      </c>
      <c r="E250" s="8" t="s">
        <v>104</v>
      </c>
      <c r="F250" s="8" t="s">
        <v>59</v>
      </c>
      <c r="G250" s="10">
        <v>1385255000000</v>
      </c>
      <c r="H250" s="10">
        <v>2</v>
      </c>
      <c r="I250" s="9">
        <v>2191829444</v>
      </c>
      <c r="J250" s="9">
        <v>4238435356</v>
      </c>
      <c r="K250" s="11">
        <v>99.8259</v>
      </c>
      <c r="L250" s="12">
        <v>43131</v>
      </c>
      <c r="M250" s="12">
        <v>35558</v>
      </c>
      <c r="N250" s="9">
        <f t="shared" si="21"/>
        <v>7573</v>
      </c>
      <c r="O250" s="13">
        <v>19.999</v>
      </c>
      <c r="P250" s="13">
        <v>17.779</v>
      </c>
      <c r="Q250" s="13">
        <v>6.0618</v>
      </c>
      <c r="R250" s="8"/>
      <c r="S250" s="13">
        <v>53380</v>
      </c>
      <c r="T250" s="13">
        <v>0.891</v>
      </c>
      <c r="U250" s="13">
        <v>14.6635</v>
      </c>
      <c r="V250" s="13">
        <f t="shared" si="22"/>
        <v>0.060763119309851</v>
      </c>
      <c r="W250" s="13">
        <v>3.28</v>
      </c>
      <c r="X250" s="13">
        <f t="shared" si="23"/>
        <v>0.271646341463415</v>
      </c>
      <c r="Y250" s="13">
        <v>0.163706</v>
      </c>
      <c r="Z250" s="13">
        <v>0.559155</v>
      </c>
      <c r="AA250" s="13">
        <v>0.0196</v>
      </c>
      <c r="AB250" s="13">
        <v>14.9045</v>
      </c>
      <c r="AC250" s="13">
        <v>-4.1001</v>
      </c>
      <c r="AD250" s="13"/>
      <c r="AE250" s="13">
        <v>0.05895</v>
      </c>
      <c r="AF250" s="13">
        <v>0.76793</v>
      </c>
      <c r="AG250" s="13">
        <v>15.1308962523605</v>
      </c>
      <c r="AH250" s="13">
        <f t="shared" si="24"/>
        <v>0.0507524463318026</v>
      </c>
      <c r="AI250" s="13">
        <v>2.69</v>
      </c>
      <c r="AJ250" s="13">
        <f t="shared" si="25"/>
        <v>0.285475836431227</v>
      </c>
      <c r="AK250" s="13">
        <v>0.177299</v>
      </c>
      <c r="AL250" s="13">
        <v>0.496167</v>
      </c>
      <c r="AM250" s="13">
        <v>0.024</v>
      </c>
      <c r="AN250" s="13">
        <v>14.8832</v>
      </c>
      <c r="AO250" s="13">
        <v>0.478829336754455</v>
      </c>
      <c r="AP250" s="13"/>
      <c r="AQ250" s="13">
        <v>0.1314</v>
      </c>
      <c r="AR250" s="13">
        <v>0.8968</v>
      </c>
      <c r="AS250" s="13">
        <v>13.3014046170127</v>
      </c>
      <c r="AT250" s="13">
        <f t="shared" si="26"/>
        <v>0.0674214510287868</v>
      </c>
      <c r="AU250" s="13">
        <v>3.01</v>
      </c>
      <c r="AV250" s="13">
        <f t="shared" si="27"/>
        <v>0.297940199335548</v>
      </c>
      <c r="AW250" s="13">
        <v>0.176064</v>
      </c>
      <c r="AX250" s="13">
        <v>0.537823</v>
      </c>
      <c r="AY250" s="13">
        <v>0.0216</v>
      </c>
      <c r="AZ250" s="13">
        <v>15.1525</v>
      </c>
      <c r="BA250" s="13">
        <v>-1.09453401221416</v>
      </c>
      <c r="BB250" s="13"/>
      <c r="BC250" s="13">
        <v>0.072173</v>
      </c>
    </row>
    <row r="251" spans="1:55">
      <c r="A251" s="8" t="s">
        <v>806</v>
      </c>
      <c r="B251" s="8" t="s">
        <v>807</v>
      </c>
      <c r="C251" s="8" t="s">
        <v>77</v>
      </c>
      <c r="D251" s="9">
        <v>370799</v>
      </c>
      <c r="E251" s="8" t="s">
        <v>132</v>
      </c>
      <c r="F251" s="8" t="s">
        <v>171</v>
      </c>
      <c r="G251" s="10">
        <v>2849964000000</v>
      </c>
      <c r="H251" s="10">
        <v>0</v>
      </c>
      <c r="I251" s="9">
        <v>11539714625</v>
      </c>
      <c r="J251" s="9">
        <v>183020977818</v>
      </c>
      <c r="K251" s="11">
        <v>88.4719</v>
      </c>
      <c r="L251" s="12">
        <v>39391</v>
      </c>
      <c r="M251" s="12">
        <v>36469</v>
      </c>
      <c r="N251" s="9">
        <f t="shared" si="21"/>
        <v>2922</v>
      </c>
      <c r="O251" s="13">
        <v>82.17</v>
      </c>
      <c r="P251" s="13">
        <v>11.43</v>
      </c>
      <c r="Q251" s="13"/>
      <c r="R251" s="8"/>
      <c r="S251" s="13">
        <v>498807</v>
      </c>
      <c r="T251" s="13">
        <v>0.25</v>
      </c>
      <c r="U251" s="13">
        <v>9.0082</v>
      </c>
      <c r="V251" s="13">
        <f t="shared" si="22"/>
        <v>0.0277524921737972</v>
      </c>
      <c r="W251" s="13">
        <v>0.9</v>
      </c>
      <c r="X251" s="13">
        <f t="shared" si="23"/>
        <v>0.277777777777778</v>
      </c>
      <c r="Y251" s="13">
        <v>0.111201</v>
      </c>
      <c r="Z251" s="13">
        <v>0.062542</v>
      </c>
      <c r="AA251" s="13">
        <v>1.0672</v>
      </c>
      <c r="AB251" s="13">
        <v>1.8589</v>
      </c>
      <c r="AC251" s="13">
        <v>0.1384</v>
      </c>
      <c r="AD251" s="13">
        <v>0.3437</v>
      </c>
      <c r="AE251" s="13">
        <v>-0.024838</v>
      </c>
      <c r="AF251" s="13">
        <v>0.22</v>
      </c>
      <c r="AG251" s="13">
        <v>5.38928323226298</v>
      </c>
      <c r="AH251" s="13">
        <f t="shared" si="24"/>
        <v>0.040821755049534</v>
      </c>
      <c r="AI251" s="13">
        <v>0.82</v>
      </c>
      <c r="AJ251" s="13">
        <f t="shared" si="25"/>
        <v>0.268292682926829</v>
      </c>
      <c r="AK251" s="13">
        <v>0.113447</v>
      </c>
      <c r="AL251" s="13">
        <v>0.050623</v>
      </c>
      <c r="AM251" s="13">
        <v>1.2515</v>
      </c>
      <c r="AN251" s="13">
        <v>1.9656</v>
      </c>
      <c r="AO251" s="13">
        <v>0.121564587438684</v>
      </c>
      <c r="AP251" s="13">
        <v>0.366712427294265</v>
      </c>
      <c r="AQ251" s="13">
        <v>0.238996</v>
      </c>
      <c r="AR251" s="13">
        <v>0.23</v>
      </c>
      <c r="AS251" s="13">
        <v>6.99039351285877</v>
      </c>
      <c r="AT251" s="13">
        <f t="shared" si="26"/>
        <v>0.0329022964983183</v>
      </c>
      <c r="AU251" s="13">
        <v>0.88</v>
      </c>
      <c r="AV251" s="13">
        <f t="shared" si="27"/>
        <v>0.261363636363636</v>
      </c>
      <c r="AW251" s="13">
        <v>0.114449</v>
      </c>
      <c r="AX251" s="13">
        <v>0.059877</v>
      </c>
      <c r="AY251" s="13">
        <v>1.1098</v>
      </c>
      <c r="AZ251" s="13">
        <v>1.927</v>
      </c>
      <c r="BA251" s="13">
        <v>0.151642039287788</v>
      </c>
      <c r="BB251" s="13">
        <v>0.402429873716813</v>
      </c>
      <c r="BC251" s="13">
        <v>-0.070436</v>
      </c>
    </row>
    <row r="252" spans="1:55">
      <c r="A252" s="8" t="s">
        <v>808</v>
      </c>
      <c r="B252" s="8" t="s">
        <v>809</v>
      </c>
      <c r="C252" s="8" t="s">
        <v>77</v>
      </c>
      <c r="D252" s="9">
        <v>115916</v>
      </c>
      <c r="E252" s="8" t="s">
        <v>132</v>
      </c>
      <c r="F252" s="8" t="s">
        <v>458</v>
      </c>
      <c r="G252" s="10">
        <v>945671125000</v>
      </c>
      <c r="H252" s="10">
        <v>3</v>
      </c>
      <c r="I252" s="9">
        <v>12131095764</v>
      </c>
      <c r="J252" s="9">
        <v>41691163636</v>
      </c>
      <c r="K252" s="11">
        <v>77.7832</v>
      </c>
      <c r="L252" s="12">
        <v>44467</v>
      </c>
      <c r="M252" s="12">
        <v>41992</v>
      </c>
      <c r="N252" s="9">
        <f t="shared" si="21"/>
        <v>2475</v>
      </c>
      <c r="O252" s="13">
        <v>45.21</v>
      </c>
      <c r="P252" s="13">
        <v>20.82</v>
      </c>
      <c r="Q252" s="13">
        <v>4.87</v>
      </c>
      <c r="R252" s="8" t="s">
        <v>740</v>
      </c>
      <c r="S252" s="13">
        <v>473007</v>
      </c>
      <c r="T252" s="13">
        <v>0.0262</v>
      </c>
      <c r="U252" s="13">
        <v>2.2664</v>
      </c>
      <c r="V252" s="13">
        <f t="shared" si="22"/>
        <v>0.011560183551006</v>
      </c>
      <c r="W252" s="13">
        <v>0.19</v>
      </c>
      <c r="X252" s="13">
        <f t="shared" si="23"/>
        <v>0.137894736842105</v>
      </c>
      <c r="Y252" s="13">
        <v>0.074146</v>
      </c>
      <c r="Z252" s="13">
        <v>0.027074</v>
      </c>
      <c r="AA252" s="13">
        <v>0.5287</v>
      </c>
      <c r="AB252" s="13">
        <v>7.2951</v>
      </c>
      <c r="AC252" s="13">
        <v>0.0253</v>
      </c>
      <c r="AD252" s="13">
        <v>0.219</v>
      </c>
      <c r="AE252" s="13">
        <v>0.075563</v>
      </c>
      <c r="AF252" s="13">
        <v>0.0252</v>
      </c>
      <c r="AG252" s="13">
        <v>2.49267501614428</v>
      </c>
      <c r="AH252" s="13">
        <f t="shared" si="24"/>
        <v>0.0101096211246101</v>
      </c>
      <c r="AI252" s="13">
        <v>0.18</v>
      </c>
      <c r="AJ252" s="13">
        <f t="shared" si="25"/>
        <v>0.14</v>
      </c>
      <c r="AK252" s="13">
        <v>0.07965</v>
      </c>
      <c r="AL252" s="13">
        <v>0.028403</v>
      </c>
      <c r="AM252" s="13">
        <v>0.6141</v>
      </c>
      <c r="AN252" s="13">
        <v>6.085</v>
      </c>
      <c r="AO252" s="13">
        <v>0.0216551421064328</v>
      </c>
      <c r="AP252" s="13">
        <v>0.244056929935192</v>
      </c>
      <c r="AQ252" s="13">
        <v>0.136743</v>
      </c>
      <c r="AR252" s="13">
        <v>0.026</v>
      </c>
      <c r="AS252" s="13">
        <v>2.4384063423389</v>
      </c>
      <c r="AT252" s="13">
        <f t="shared" si="26"/>
        <v>0.0106627019248404</v>
      </c>
      <c r="AU252" s="13">
        <v>0.18</v>
      </c>
      <c r="AV252" s="13">
        <f t="shared" si="27"/>
        <v>0.144444444444444</v>
      </c>
      <c r="AW252" s="13">
        <v>0.075214</v>
      </c>
      <c r="AX252" s="13">
        <v>0.027721</v>
      </c>
      <c r="AY252" s="13">
        <v>0.561</v>
      </c>
      <c r="AZ252" s="13">
        <v>6.8163</v>
      </c>
      <c r="BA252" s="13">
        <v>0.0233627781828582</v>
      </c>
      <c r="BB252" s="13">
        <v>0.198890910030502</v>
      </c>
      <c r="BC252" s="13">
        <v>0.108178</v>
      </c>
    </row>
    <row r="253" spans="1:55">
      <c r="A253" s="8" t="s">
        <v>810</v>
      </c>
      <c r="B253" s="8" t="s">
        <v>811</v>
      </c>
      <c r="C253" s="8" t="s">
        <v>77</v>
      </c>
      <c r="D253" s="9">
        <v>5279</v>
      </c>
      <c r="E253" s="8" t="s">
        <v>198</v>
      </c>
      <c r="F253" s="8" t="s">
        <v>184</v>
      </c>
      <c r="G253" s="10">
        <v>77960390073.39</v>
      </c>
      <c r="H253" s="10">
        <v>5</v>
      </c>
      <c r="I253" s="9">
        <v>2541108705</v>
      </c>
      <c r="J253" s="9">
        <v>8074538502</v>
      </c>
      <c r="K253" s="11">
        <v>100</v>
      </c>
      <c r="L253" s="12">
        <v>39052</v>
      </c>
      <c r="M253" s="12">
        <v>38352</v>
      </c>
      <c r="N253" s="9">
        <f t="shared" si="21"/>
        <v>700</v>
      </c>
      <c r="O253" s="13">
        <v>54.48</v>
      </c>
      <c r="P253" s="13">
        <v>13.57</v>
      </c>
      <c r="Q253" s="13">
        <v>2.03</v>
      </c>
      <c r="R253" s="8" t="s">
        <v>812</v>
      </c>
      <c r="S253" s="13">
        <v>100942</v>
      </c>
      <c r="T253" s="13">
        <v>0.156</v>
      </c>
      <c r="U253" s="13">
        <v>7.4728</v>
      </c>
      <c r="V253" s="13">
        <f t="shared" si="22"/>
        <v>0.0208757092388395</v>
      </c>
      <c r="W253" s="13">
        <v>0.63</v>
      </c>
      <c r="X253" s="13">
        <f t="shared" si="23"/>
        <v>0.247619047619048</v>
      </c>
      <c r="Y253" s="13">
        <v>0.132773</v>
      </c>
      <c r="Z253" s="13">
        <v>0.201913</v>
      </c>
      <c r="AA253" s="13">
        <v>0.3879</v>
      </c>
      <c r="AB253" s="13">
        <v>1.7289</v>
      </c>
      <c r="AC253" s="13">
        <v>0.3285</v>
      </c>
      <c r="AD253" s="13">
        <v>0.2626</v>
      </c>
      <c r="AE253" s="13">
        <v>-0.003158</v>
      </c>
      <c r="AF253" s="13">
        <v>0.19</v>
      </c>
      <c r="AG253" s="13">
        <v>6.25750545836263</v>
      </c>
      <c r="AH253" s="13">
        <f t="shared" si="24"/>
        <v>0.0303635372376833</v>
      </c>
      <c r="AI253" s="13">
        <v>0.61</v>
      </c>
      <c r="AJ253" s="13">
        <f t="shared" si="25"/>
        <v>0.311475409836066</v>
      </c>
      <c r="AK253" s="13">
        <v>0.171097</v>
      </c>
      <c r="AL253" s="13">
        <v>0.170557</v>
      </c>
      <c r="AM253" s="13">
        <v>0.473</v>
      </c>
      <c r="AN253" s="13">
        <v>2.1128</v>
      </c>
      <c r="AO253" s="13">
        <v>0.235461093877889</v>
      </c>
      <c r="AP253" s="13">
        <v>1.25332670247797</v>
      </c>
      <c r="AQ253" s="13">
        <v>0.216948</v>
      </c>
      <c r="AR253" s="13">
        <v>0.238</v>
      </c>
      <c r="AS253" s="13">
        <v>6.46811285492753</v>
      </c>
      <c r="AT253" s="13">
        <f t="shared" si="26"/>
        <v>0.0367958947745767</v>
      </c>
      <c r="AU253" s="13">
        <v>0.6</v>
      </c>
      <c r="AV253" s="13">
        <f t="shared" si="27"/>
        <v>0.396666666666667</v>
      </c>
      <c r="AW253" s="13">
        <v>0.138321</v>
      </c>
      <c r="AX253" s="13">
        <v>0.190164</v>
      </c>
      <c r="AY253" s="13">
        <v>0.4048</v>
      </c>
      <c r="AZ253" s="13">
        <v>1.8283</v>
      </c>
      <c r="BA253" s="13">
        <v>0.344550070789397</v>
      </c>
      <c r="BB253" s="13">
        <v>0.395407267514795</v>
      </c>
      <c r="BC253" s="13">
        <v>-0.128832</v>
      </c>
    </row>
    <row r="254" spans="1:55">
      <c r="A254" s="8" t="s">
        <v>813</v>
      </c>
      <c r="B254" s="8" t="s">
        <v>814</v>
      </c>
      <c r="C254" s="8" t="s">
        <v>82</v>
      </c>
      <c r="D254" s="9">
        <v>35476</v>
      </c>
      <c r="E254" s="8" t="s">
        <v>165</v>
      </c>
      <c r="F254" s="8" t="s">
        <v>67</v>
      </c>
      <c r="G254" s="10">
        <v>155146215143.94</v>
      </c>
      <c r="H254" s="10">
        <v>0</v>
      </c>
      <c r="I254" s="9">
        <v>1009478178</v>
      </c>
      <c r="J254" s="9">
        <v>2148968976</v>
      </c>
      <c r="K254" s="11">
        <v>100</v>
      </c>
      <c r="L254" s="12">
        <v>40199</v>
      </c>
      <c r="M254" s="12">
        <v>35647</v>
      </c>
      <c r="N254" s="9">
        <f t="shared" si="21"/>
        <v>4552</v>
      </c>
      <c r="O254" s="13">
        <v>41.18</v>
      </c>
      <c r="P254" s="13">
        <v>8.39</v>
      </c>
      <c r="Q254" s="13">
        <v>5.74</v>
      </c>
      <c r="R254" s="8" t="s">
        <v>815</v>
      </c>
      <c r="S254" s="13">
        <v>85567</v>
      </c>
      <c r="T254" s="13">
        <v>0.6</v>
      </c>
      <c r="U254" s="13">
        <v>20.9279</v>
      </c>
      <c r="V254" s="13">
        <f t="shared" si="22"/>
        <v>0.0286698617634832</v>
      </c>
      <c r="W254" s="13">
        <v>1.81</v>
      </c>
      <c r="X254" s="13">
        <f t="shared" si="23"/>
        <v>0.331491712707182</v>
      </c>
      <c r="Y254" s="13">
        <v>0.095429</v>
      </c>
      <c r="Z254" s="13">
        <v>0.080739</v>
      </c>
      <c r="AA254" s="13">
        <v>0.4984</v>
      </c>
      <c r="AB254" s="13">
        <v>3.1884</v>
      </c>
      <c r="AC254" s="13">
        <v>0.2356</v>
      </c>
      <c r="AD254" s="13">
        <v>0.2566</v>
      </c>
      <c r="AE254" s="13">
        <v>0.12696</v>
      </c>
      <c r="AF254" s="13">
        <v>0.4</v>
      </c>
      <c r="AG254" s="13">
        <v>35.8352311881956</v>
      </c>
      <c r="AH254" s="13">
        <f t="shared" si="24"/>
        <v>0.0111621995097317</v>
      </c>
      <c r="AI254" s="13">
        <v>1.89</v>
      </c>
      <c r="AJ254" s="13">
        <f t="shared" si="25"/>
        <v>0.211640211640212</v>
      </c>
      <c r="AK254" s="13">
        <v>0.117709</v>
      </c>
      <c r="AL254" s="13">
        <v>0.102662</v>
      </c>
      <c r="AM254" s="13">
        <v>0.4845</v>
      </c>
      <c r="AN254" s="13">
        <v>2.7763</v>
      </c>
      <c r="AO254" s="13">
        <v>0.110854274264608</v>
      </c>
      <c r="AP254" s="13">
        <v>0.377636517463056</v>
      </c>
      <c r="AQ254" s="13">
        <v>0.177847</v>
      </c>
      <c r="AR254" s="13">
        <v>0.55</v>
      </c>
      <c r="AS254" s="13">
        <v>27.2956235279185</v>
      </c>
      <c r="AT254" s="13">
        <f t="shared" si="26"/>
        <v>0.0201497503597032</v>
      </c>
      <c r="AU254" s="13">
        <v>1.73</v>
      </c>
      <c r="AV254" s="13">
        <f t="shared" si="27"/>
        <v>0.317919075144509</v>
      </c>
      <c r="AW254" s="13">
        <v>0.097734</v>
      </c>
      <c r="AX254" s="13">
        <v>0.086442</v>
      </c>
      <c r="AY254" s="13">
        <v>0.5086</v>
      </c>
      <c r="AZ254" s="13">
        <v>2.9847</v>
      </c>
      <c r="BA254" s="13">
        <v>0.0723196001722005</v>
      </c>
      <c r="BB254" s="13">
        <v>0.287864556799102</v>
      </c>
      <c r="BC254" s="13">
        <v>0.245278</v>
      </c>
    </row>
    <row r="255" spans="1:55">
      <c r="A255" s="8" t="s">
        <v>816</v>
      </c>
      <c r="B255" s="8" t="s">
        <v>817</v>
      </c>
      <c r="C255" s="8" t="s">
        <v>89</v>
      </c>
      <c r="D255" s="9">
        <v>5302</v>
      </c>
      <c r="E255" s="8" t="s">
        <v>165</v>
      </c>
      <c r="F255" s="8" t="s">
        <v>59</v>
      </c>
      <c r="G255" s="10">
        <v>219048444117.21</v>
      </c>
      <c r="H255" s="10">
        <v>0</v>
      </c>
      <c r="I255" s="9">
        <v>2448971480</v>
      </c>
      <c r="J255" s="9">
        <v>4573796639</v>
      </c>
      <c r="K255" s="11">
        <v>100</v>
      </c>
      <c r="L255" s="12">
        <v>42912</v>
      </c>
      <c r="M255" s="12">
        <v>37385</v>
      </c>
      <c r="N255" s="9">
        <f t="shared" si="21"/>
        <v>5527</v>
      </c>
      <c r="O255" s="13">
        <v>46.46</v>
      </c>
      <c r="P255" s="13">
        <v>2.49</v>
      </c>
      <c r="Q255" s="13">
        <v>1.55</v>
      </c>
      <c r="R255" s="8" t="s">
        <v>818</v>
      </c>
      <c r="S255" s="13">
        <v>157460</v>
      </c>
      <c r="T255" s="13">
        <v>0.1</v>
      </c>
      <c r="U255" s="13">
        <v>11.9839</v>
      </c>
      <c r="V255" s="13">
        <f t="shared" si="22"/>
        <v>0.00834452890962041</v>
      </c>
      <c r="W255" s="13">
        <v>0.49</v>
      </c>
      <c r="X255" s="13">
        <f t="shared" si="23"/>
        <v>0.204081632653061</v>
      </c>
      <c r="Y255" s="13">
        <v>0.062109</v>
      </c>
      <c r="Z255" s="13">
        <v>0.126893</v>
      </c>
      <c r="AA255" s="13">
        <v>0.1056</v>
      </c>
      <c r="AB255" s="13">
        <v>4.8162</v>
      </c>
      <c r="AC255" s="13">
        <v>0.3975</v>
      </c>
      <c r="AD255" s="13"/>
      <c r="AE255" s="13">
        <v>-0.103313</v>
      </c>
      <c r="AF255" s="13">
        <v>0.13</v>
      </c>
      <c r="AG255" s="13">
        <v>10.9470143282815</v>
      </c>
      <c r="AH255" s="13">
        <f t="shared" si="24"/>
        <v>0.0118753841094504</v>
      </c>
      <c r="AI255" s="13">
        <v>0.43</v>
      </c>
      <c r="AJ255" s="13">
        <f t="shared" si="25"/>
        <v>0.302325581395349</v>
      </c>
      <c r="AK255" s="13">
        <v>0.066218</v>
      </c>
      <c r="AL255" s="13">
        <v>0.101196</v>
      </c>
      <c r="AM255" s="13">
        <v>0.1282</v>
      </c>
      <c r="AN255" s="13">
        <v>5.2482</v>
      </c>
      <c r="AO255" s="13">
        <v>0.0311081240518459</v>
      </c>
      <c r="AP255" s="13"/>
      <c r="AQ255" s="13">
        <v>0.02412</v>
      </c>
      <c r="AR255" s="13">
        <v>0.14</v>
      </c>
      <c r="AS255" s="13">
        <v>10.639666672842</v>
      </c>
      <c r="AT255" s="13">
        <f t="shared" si="26"/>
        <v>0.0131583069568667</v>
      </c>
      <c r="AU255" s="13">
        <v>0.46</v>
      </c>
      <c r="AV255" s="13">
        <f t="shared" si="27"/>
        <v>0.304347826086957</v>
      </c>
      <c r="AW255" s="13">
        <v>0.065995</v>
      </c>
      <c r="AX255" s="13">
        <v>0.103399</v>
      </c>
      <c r="AY255" s="13">
        <v>0.1249</v>
      </c>
      <c r="AZ255" s="13">
        <v>5.3158</v>
      </c>
      <c r="BA255" s="13">
        <v>0.33508224266317</v>
      </c>
      <c r="BB255" s="13"/>
      <c r="BC255" s="13">
        <v>0.049013</v>
      </c>
    </row>
    <row r="256" spans="1:55">
      <c r="A256" s="8" t="s">
        <v>819</v>
      </c>
      <c r="B256" s="8" t="s">
        <v>820</v>
      </c>
      <c r="C256" s="8" t="s">
        <v>77</v>
      </c>
      <c r="D256" s="9">
        <v>14424</v>
      </c>
      <c r="E256" s="8" t="s">
        <v>132</v>
      </c>
      <c r="F256" s="8" t="s">
        <v>59</v>
      </c>
      <c r="G256" s="10">
        <v>861092526709.18</v>
      </c>
      <c r="H256" s="10">
        <v>0</v>
      </c>
      <c r="I256" s="9">
        <v>2082806759</v>
      </c>
      <c r="J256" s="9">
        <v>10934402256</v>
      </c>
      <c r="K256" s="11">
        <v>66.2443</v>
      </c>
      <c r="L256" s="12">
        <v>42758</v>
      </c>
      <c r="M256" s="12">
        <v>39108</v>
      </c>
      <c r="N256" s="9">
        <f t="shared" si="21"/>
        <v>3650</v>
      </c>
      <c r="O256" s="13">
        <v>47.43</v>
      </c>
      <c r="P256" s="13">
        <v>33.73</v>
      </c>
      <c r="Q256" s="13">
        <v>1.28</v>
      </c>
      <c r="R256" s="8" t="s">
        <v>821</v>
      </c>
      <c r="S256" s="13">
        <v>124499</v>
      </c>
      <c r="T256" s="13">
        <v>0.196</v>
      </c>
      <c r="U256" s="13">
        <v>12.9254</v>
      </c>
      <c r="V256" s="13">
        <f t="shared" si="22"/>
        <v>0.0151639407677906</v>
      </c>
      <c r="W256" s="13">
        <v>0.81</v>
      </c>
      <c r="X256" s="13">
        <f t="shared" si="23"/>
        <v>0.241975308641975</v>
      </c>
      <c r="Y256" s="13">
        <v>0.074043</v>
      </c>
      <c r="Z256" s="13">
        <v>0.282791</v>
      </c>
      <c r="AA256" s="13">
        <v>0.0506</v>
      </c>
      <c r="AB256" s="13">
        <v>5.1696</v>
      </c>
      <c r="AC256" s="13">
        <v>0.981</v>
      </c>
      <c r="AD256" s="13"/>
      <c r="AE256" s="13">
        <v>0.054307</v>
      </c>
      <c r="AF256" s="13">
        <v>0.22533</v>
      </c>
      <c r="AG256" s="13">
        <v>9.68902472575041</v>
      </c>
      <c r="AH256" s="13">
        <f t="shared" si="24"/>
        <v>0.0232562106484405</v>
      </c>
      <c r="AI256" s="13">
        <v>0.7</v>
      </c>
      <c r="AJ256" s="13">
        <f t="shared" si="25"/>
        <v>0.3219</v>
      </c>
      <c r="AK256" s="13">
        <v>0.07701</v>
      </c>
      <c r="AL256" s="13">
        <v>0.230708</v>
      </c>
      <c r="AM256" s="13">
        <v>0.0568</v>
      </c>
      <c r="AN256" s="13">
        <v>5.8813</v>
      </c>
      <c r="AO256" s="13">
        <v>0.915480812344466</v>
      </c>
      <c r="AP256" s="13"/>
      <c r="AQ256" s="13">
        <v>-0.065084</v>
      </c>
      <c r="AR256" s="13">
        <v>0.22</v>
      </c>
      <c r="AS256" s="13">
        <v>12.0686298017068</v>
      </c>
      <c r="AT256" s="13">
        <f t="shared" si="26"/>
        <v>0.0182290784964575</v>
      </c>
      <c r="AU256" s="13">
        <v>0.67</v>
      </c>
      <c r="AV256" s="13">
        <f t="shared" si="27"/>
        <v>0.328358208955224</v>
      </c>
      <c r="AW256" s="13">
        <v>0.067613</v>
      </c>
      <c r="AX256" s="13">
        <v>0.234336</v>
      </c>
      <c r="AY256" s="13">
        <v>0.0522</v>
      </c>
      <c r="AZ256" s="13">
        <v>5.5284</v>
      </c>
      <c r="BA256" s="13">
        <v>-1.31555649576906</v>
      </c>
      <c r="BB256" s="13"/>
      <c r="BC256" s="13">
        <v>6.2e-5</v>
      </c>
    </row>
    <row r="257" spans="1:55">
      <c r="A257" s="8" t="s">
        <v>822</v>
      </c>
      <c r="B257" s="8" t="s">
        <v>823</v>
      </c>
      <c r="C257" s="8" t="s">
        <v>77</v>
      </c>
      <c r="D257" s="9">
        <v>16027</v>
      </c>
      <c r="E257" s="8" t="s">
        <v>132</v>
      </c>
      <c r="F257" s="8" t="s">
        <v>199</v>
      </c>
      <c r="G257" s="10">
        <v>75496310802.94</v>
      </c>
      <c r="H257" s="10">
        <v>1</v>
      </c>
      <c r="I257" s="9">
        <v>911832854</v>
      </c>
      <c r="J257" s="9">
        <v>2068859044</v>
      </c>
      <c r="K257" s="11">
        <v>94.3745</v>
      </c>
      <c r="L257" s="12">
        <v>40101</v>
      </c>
      <c r="M257" s="12">
        <v>39535</v>
      </c>
      <c r="N257" s="9">
        <f t="shared" si="21"/>
        <v>566</v>
      </c>
      <c r="O257" s="13">
        <v>50.3</v>
      </c>
      <c r="P257" s="13">
        <v>5.63</v>
      </c>
      <c r="Q257" s="13">
        <v>2.82</v>
      </c>
      <c r="R257" s="8" t="s">
        <v>824</v>
      </c>
      <c r="S257" s="13">
        <v>309294</v>
      </c>
      <c r="T257" s="13">
        <v>1.05</v>
      </c>
      <c r="U257" s="13">
        <v>73.7548</v>
      </c>
      <c r="V257" s="13">
        <f t="shared" si="22"/>
        <v>0.0142363615656201</v>
      </c>
      <c r="W257" s="13">
        <v>2.0625</v>
      </c>
      <c r="X257" s="13">
        <f t="shared" si="23"/>
        <v>0.509090909090909</v>
      </c>
      <c r="Y257" s="13">
        <v>0.078345</v>
      </c>
      <c r="Z257" s="13">
        <v>0.086102</v>
      </c>
      <c r="AA257" s="13">
        <v>0.7281</v>
      </c>
      <c r="AB257" s="13">
        <v>1.4241</v>
      </c>
      <c r="AC257" s="13">
        <v>0.1406</v>
      </c>
      <c r="AD257" s="13">
        <v>3.1741</v>
      </c>
      <c r="AE257" s="13">
        <v>-0.163847</v>
      </c>
      <c r="AF257" s="13">
        <v>0.8</v>
      </c>
      <c r="AG257" s="13">
        <v>192.553753671852</v>
      </c>
      <c r="AH257" s="13">
        <f t="shared" si="24"/>
        <v>0.00415468400249081</v>
      </c>
      <c r="AI257" s="13">
        <v>2.5277</v>
      </c>
      <c r="AJ257" s="13">
        <f t="shared" si="25"/>
        <v>0.316493254737508</v>
      </c>
      <c r="AK257" s="13">
        <v>0.128667</v>
      </c>
      <c r="AL257" s="13">
        <v>0.113686</v>
      </c>
      <c r="AM257" s="13">
        <v>0.8286</v>
      </c>
      <c r="AN257" s="13">
        <v>1.6802</v>
      </c>
      <c r="AO257" s="13">
        <v>-0.0627423560273009</v>
      </c>
      <c r="AP257" s="13">
        <v>1.53839825163031</v>
      </c>
      <c r="AQ257" s="13">
        <v>-0.195679</v>
      </c>
      <c r="AR257" s="13">
        <v>1.65</v>
      </c>
      <c r="AS257" s="13">
        <v>131.967308840331</v>
      </c>
      <c r="AT257" s="13">
        <f t="shared" si="26"/>
        <v>0.0125030965206418</v>
      </c>
      <c r="AU257" s="13">
        <v>3.2451</v>
      </c>
      <c r="AV257" s="13">
        <f t="shared" si="27"/>
        <v>0.508458907275585</v>
      </c>
      <c r="AW257" s="13">
        <v>0.131117</v>
      </c>
      <c r="AX257" s="13">
        <v>0.107584</v>
      </c>
      <c r="AY257" s="13">
        <v>0.8727</v>
      </c>
      <c r="AZ257" s="13">
        <v>1.5114</v>
      </c>
      <c r="BA257" s="13">
        <v>0.223962035575639</v>
      </c>
      <c r="BB257" s="13">
        <v>2.0770734852794</v>
      </c>
      <c r="BC257" s="13">
        <v>0.240797</v>
      </c>
    </row>
    <row r="258" spans="1:55">
      <c r="A258" s="8" t="s">
        <v>825</v>
      </c>
      <c r="B258" s="8" t="s">
        <v>826</v>
      </c>
      <c r="C258" s="8" t="s">
        <v>77</v>
      </c>
      <c r="D258" s="9">
        <v>46452</v>
      </c>
      <c r="E258" s="8" t="s">
        <v>132</v>
      </c>
      <c r="F258" s="8" t="s">
        <v>171</v>
      </c>
      <c r="G258" s="10">
        <v>366801669000</v>
      </c>
      <c r="H258" s="10">
        <v>1</v>
      </c>
      <c r="I258" s="9">
        <v>1537654092</v>
      </c>
      <c r="J258" s="9">
        <v>13258663400</v>
      </c>
      <c r="K258" s="11">
        <v>69.0266</v>
      </c>
      <c r="L258" s="12">
        <v>39479</v>
      </c>
      <c r="M258" s="12">
        <v>38951</v>
      </c>
      <c r="N258" s="9">
        <f t="shared" ref="N258:N301" si="28">L258-M258</f>
        <v>528</v>
      </c>
      <c r="O258" s="13">
        <v>57.43</v>
      </c>
      <c r="P258" s="13">
        <v>29.88</v>
      </c>
      <c r="Q258" s="13">
        <v>2.53</v>
      </c>
      <c r="R258" s="8" t="s">
        <v>827</v>
      </c>
      <c r="S258" s="13">
        <v>69404</v>
      </c>
      <c r="T258" s="13">
        <v>0.258</v>
      </c>
      <c r="U258" s="13">
        <v>12.3932</v>
      </c>
      <c r="V258" s="13">
        <f t="shared" ref="V258:V301" si="29">T258/U258</f>
        <v>0.0208178678630217</v>
      </c>
      <c r="W258" s="13">
        <v>1.46</v>
      </c>
      <c r="X258" s="13">
        <f t="shared" ref="X258:X301" si="30">T258/W258</f>
        <v>0.176712328767123</v>
      </c>
      <c r="Y258" s="13">
        <v>0.130546</v>
      </c>
      <c r="Z258" s="13">
        <v>0.131754</v>
      </c>
      <c r="AA258" s="13">
        <v>0.5355</v>
      </c>
      <c r="AB258" s="13">
        <v>2.3893</v>
      </c>
      <c r="AC258" s="13">
        <v>0.1803</v>
      </c>
      <c r="AD258" s="13">
        <v>0.8265</v>
      </c>
      <c r="AE258" s="13">
        <v>-0.018501</v>
      </c>
      <c r="AF258" s="13">
        <v>0.413</v>
      </c>
      <c r="AG258" s="13">
        <v>8.91530404648351</v>
      </c>
      <c r="AH258" s="13">
        <f t="shared" ref="AH258:AH301" si="31">AF258/AG258</f>
        <v>0.0463248362418891</v>
      </c>
      <c r="AI258" s="13">
        <v>1.38</v>
      </c>
      <c r="AJ258" s="13">
        <f t="shared" ref="AJ258:AJ301" si="32">AF258/AI258</f>
        <v>0.299275362318841</v>
      </c>
      <c r="AK258" s="13">
        <v>0.149176</v>
      </c>
      <c r="AL258" s="13">
        <v>0.115053</v>
      </c>
      <c r="AM258" s="13">
        <v>0.6665</v>
      </c>
      <c r="AN258" s="13">
        <v>2.7064</v>
      </c>
      <c r="AO258" s="13">
        <v>0.197817958773273</v>
      </c>
      <c r="AP258" s="13">
        <v>0.871763960883516</v>
      </c>
      <c r="AQ258" s="13">
        <v>-0.080272</v>
      </c>
      <c r="AR258" s="13">
        <v>0.555</v>
      </c>
      <c r="AS258" s="13">
        <v>8.71765140269494</v>
      </c>
      <c r="AT258" s="13">
        <f t="shared" ref="AT258:AT301" si="33">AR258/AS258</f>
        <v>0.0636639358885616</v>
      </c>
      <c r="AU258" s="13">
        <v>1.47</v>
      </c>
      <c r="AV258" s="13">
        <f t="shared" ref="AV258:AV301" si="34">AR258/AU258</f>
        <v>0.377551020408163</v>
      </c>
      <c r="AW258" s="13">
        <v>0.142125</v>
      </c>
      <c r="AX258" s="13">
        <v>0.133435</v>
      </c>
      <c r="AY258" s="13">
        <v>0.5598</v>
      </c>
      <c r="AZ258" s="13">
        <v>2.5082</v>
      </c>
      <c r="BA258" s="13">
        <v>0.222654297753876</v>
      </c>
      <c r="BB258" s="13">
        <v>0.936434786519871</v>
      </c>
      <c r="BC258" s="13">
        <v>-0.125163</v>
      </c>
    </row>
    <row r="259" spans="1:55">
      <c r="A259" s="8" t="s">
        <v>828</v>
      </c>
      <c r="B259" s="8" t="s">
        <v>829</v>
      </c>
      <c r="C259" s="8" t="s">
        <v>89</v>
      </c>
      <c r="D259" s="9">
        <v>55690</v>
      </c>
      <c r="E259" s="8" t="s">
        <v>370</v>
      </c>
      <c r="F259" s="8" t="s">
        <v>171</v>
      </c>
      <c r="G259" s="10">
        <v>483007569343</v>
      </c>
      <c r="H259" s="10">
        <v>0</v>
      </c>
      <c r="I259" s="9">
        <v>14517375436</v>
      </c>
      <c r="J259" s="9">
        <v>26589733140</v>
      </c>
      <c r="K259" s="11">
        <v>77.4769</v>
      </c>
      <c r="L259" s="12">
        <v>39563</v>
      </c>
      <c r="M259" s="12">
        <v>36775</v>
      </c>
      <c r="N259" s="9">
        <f t="shared" si="28"/>
        <v>2788</v>
      </c>
      <c r="O259" s="13">
        <v>22.89</v>
      </c>
      <c r="P259" s="13">
        <v>22.49</v>
      </c>
      <c r="Q259" s="13">
        <v>5.09</v>
      </c>
      <c r="R259" s="8" t="s">
        <v>830</v>
      </c>
      <c r="S259" s="13">
        <v>529769</v>
      </c>
      <c r="T259" s="13">
        <v>0.28</v>
      </c>
      <c r="U259" s="13">
        <v>16.2877</v>
      </c>
      <c r="V259" s="13">
        <f t="shared" si="29"/>
        <v>0.0171908863743807</v>
      </c>
      <c r="W259" s="13">
        <v>1.21</v>
      </c>
      <c r="X259" s="13">
        <f t="shared" si="30"/>
        <v>0.231404958677686</v>
      </c>
      <c r="Y259" s="13">
        <v>0.259213</v>
      </c>
      <c r="Z259" s="13">
        <v>0.129735</v>
      </c>
      <c r="AA259" s="13">
        <v>0.8211</v>
      </c>
      <c r="AB259" s="13">
        <v>2.9909</v>
      </c>
      <c r="AC259" s="13">
        <v>0.1609</v>
      </c>
      <c r="AD259" s="13">
        <v>0.3792</v>
      </c>
      <c r="AE259" s="13">
        <v>0.03489</v>
      </c>
      <c r="AF259" s="13">
        <v>0.2</v>
      </c>
      <c r="AG259" s="13">
        <v>9.81909027416449</v>
      </c>
      <c r="AH259" s="13">
        <f t="shared" si="31"/>
        <v>0.0203684857166687</v>
      </c>
      <c r="AI259" s="13">
        <v>0.76</v>
      </c>
      <c r="AJ259" s="13">
        <f t="shared" si="32"/>
        <v>0.263157894736842</v>
      </c>
      <c r="AK259" s="13">
        <v>0.250561</v>
      </c>
      <c r="AL259" s="13">
        <v>0.091619</v>
      </c>
      <c r="AM259" s="13">
        <v>1.0506</v>
      </c>
      <c r="AN259" s="13">
        <v>3.217</v>
      </c>
      <c r="AO259" s="13">
        <v>0.106087406543437</v>
      </c>
      <c r="AP259" s="13">
        <v>0.366263900033746</v>
      </c>
      <c r="AQ259" s="13">
        <v>0.200915</v>
      </c>
      <c r="AR259" s="13">
        <v>0.2</v>
      </c>
      <c r="AS259" s="13">
        <v>12.0345916462141</v>
      </c>
      <c r="AT259" s="13">
        <f t="shared" si="33"/>
        <v>0.0166187608087988</v>
      </c>
      <c r="AU259" s="13">
        <v>0.8</v>
      </c>
      <c r="AV259" s="13">
        <f t="shared" si="34"/>
        <v>0.25</v>
      </c>
      <c r="AW259" s="13">
        <v>0.215012</v>
      </c>
      <c r="AX259" s="13">
        <v>0.090454</v>
      </c>
      <c r="AY259" s="13">
        <v>0.9041</v>
      </c>
      <c r="AZ259" s="13">
        <v>3.3039</v>
      </c>
      <c r="BA259" s="13">
        <v>0.125629374963408</v>
      </c>
      <c r="BB259" s="13">
        <v>0.288764294976836</v>
      </c>
      <c r="BC259" s="13">
        <v>0.085356</v>
      </c>
    </row>
    <row r="260" spans="1:55">
      <c r="A260" s="8" t="s">
        <v>831</v>
      </c>
      <c r="B260" s="8" t="s">
        <v>832</v>
      </c>
      <c r="C260" s="8" t="s">
        <v>57</v>
      </c>
      <c r="D260" s="9">
        <v>7509</v>
      </c>
      <c r="E260" s="8" t="s">
        <v>73</v>
      </c>
      <c r="F260" s="8" t="s">
        <v>59</v>
      </c>
      <c r="G260" s="10">
        <v>260320529754.49</v>
      </c>
      <c r="H260" s="10">
        <v>0</v>
      </c>
      <c r="I260" s="9">
        <v>3910872474</v>
      </c>
      <c r="J260" s="9">
        <v>8232101395</v>
      </c>
      <c r="K260" s="11">
        <v>100</v>
      </c>
      <c r="L260" s="12">
        <v>40765</v>
      </c>
      <c r="M260" s="12">
        <v>34633</v>
      </c>
      <c r="N260" s="9">
        <f t="shared" si="28"/>
        <v>6132</v>
      </c>
      <c r="O260" s="13">
        <v>28.71</v>
      </c>
      <c r="P260" s="13">
        <v>13.24</v>
      </c>
      <c r="Q260" s="13">
        <v>7.2</v>
      </c>
      <c r="R260" s="8" t="s">
        <v>833</v>
      </c>
      <c r="S260" s="13">
        <v>195284</v>
      </c>
      <c r="T260" s="13">
        <v>0.0593</v>
      </c>
      <c r="U260" s="13">
        <v>8.2297</v>
      </c>
      <c r="V260" s="13">
        <f t="shared" si="29"/>
        <v>0.00720560895293875</v>
      </c>
      <c r="W260" s="13">
        <v>0.27</v>
      </c>
      <c r="X260" s="13">
        <f t="shared" si="30"/>
        <v>0.21962962962963</v>
      </c>
      <c r="Y260" s="13">
        <v>0.047258</v>
      </c>
      <c r="Z260" s="13">
        <v>0.280733</v>
      </c>
      <c r="AA260" s="13">
        <v>0.0323</v>
      </c>
      <c r="AB260" s="13">
        <v>5.1175</v>
      </c>
      <c r="AC260" s="13">
        <v>0.0426</v>
      </c>
      <c r="AD260" s="13"/>
      <c r="AE260" s="13">
        <v>0.084236</v>
      </c>
      <c r="AF260" s="13">
        <v>0.012</v>
      </c>
      <c r="AG260" s="13">
        <v>6.83313404411927</v>
      </c>
      <c r="AH260" s="13">
        <f t="shared" si="31"/>
        <v>0.00175614877778191</v>
      </c>
      <c r="AI260" s="13">
        <v>0.26</v>
      </c>
      <c r="AJ260" s="13">
        <f t="shared" si="32"/>
        <v>0.0461538461538462</v>
      </c>
      <c r="AK260" s="13">
        <v>0.050904</v>
      </c>
      <c r="AL260" s="13">
        <v>0.283232</v>
      </c>
      <c r="AM260" s="13">
        <v>0.0439</v>
      </c>
      <c r="AN260" s="13">
        <v>4.1972</v>
      </c>
      <c r="AO260" s="13">
        <v>-0.695458883411188</v>
      </c>
      <c r="AP260" s="13"/>
      <c r="AQ260" s="13">
        <v>-0.097925</v>
      </c>
      <c r="AR260" s="13">
        <v>0.023</v>
      </c>
      <c r="AS260" s="13">
        <v>8.29613376155802</v>
      </c>
      <c r="AT260" s="13">
        <f t="shared" si="33"/>
        <v>0.00277237574285212</v>
      </c>
      <c r="AU260" s="13">
        <v>0.26</v>
      </c>
      <c r="AV260" s="13">
        <f t="shared" si="34"/>
        <v>0.0884615384615385</v>
      </c>
      <c r="AW260" s="13">
        <v>0.048766</v>
      </c>
      <c r="AX260" s="13">
        <v>0.315764</v>
      </c>
      <c r="AY260" s="13">
        <v>0.0352</v>
      </c>
      <c r="AZ260" s="13">
        <v>4.5771</v>
      </c>
      <c r="BA260" s="13">
        <v>-1.16748003411098</v>
      </c>
      <c r="BB260" s="13"/>
      <c r="BC260" s="13">
        <v>-0.084637</v>
      </c>
    </row>
    <row r="261" spans="1:55">
      <c r="A261" s="8" t="s">
        <v>834</v>
      </c>
      <c r="B261" s="8" t="s">
        <v>835</v>
      </c>
      <c r="C261" s="8" t="s">
        <v>57</v>
      </c>
      <c r="D261" s="9">
        <v>25094</v>
      </c>
      <c r="E261" s="8" t="s">
        <v>165</v>
      </c>
      <c r="F261" s="8" t="s">
        <v>59</v>
      </c>
      <c r="G261" s="10">
        <v>3389012000000</v>
      </c>
      <c r="H261" s="10">
        <v>0</v>
      </c>
      <c r="I261" s="9">
        <v>14322053865</v>
      </c>
      <c r="J261" s="9">
        <v>27464635963</v>
      </c>
      <c r="K261" s="11">
        <v>78.4443</v>
      </c>
      <c r="L261" s="12">
        <v>43795</v>
      </c>
      <c r="M261" s="12">
        <v>34075</v>
      </c>
      <c r="N261" s="9">
        <f t="shared" si="28"/>
        <v>9720</v>
      </c>
      <c r="O261" s="13">
        <v>21.55</v>
      </c>
      <c r="P261" s="13">
        <v>12.57</v>
      </c>
      <c r="Q261" s="13">
        <v>4.99</v>
      </c>
      <c r="R261" s="8" t="s">
        <v>836</v>
      </c>
      <c r="S261" s="13">
        <v>212334</v>
      </c>
      <c r="T261" s="13">
        <v>0.156</v>
      </c>
      <c r="U261" s="13">
        <v>2.837</v>
      </c>
      <c r="V261" s="13">
        <f t="shared" si="29"/>
        <v>0.0549876630243215</v>
      </c>
      <c r="W261" s="13">
        <v>0.52</v>
      </c>
      <c r="X261" s="13">
        <f t="shared" si="30"/>
        <v>0.3</v>
      </c>
      <c r="Y261" s="13">
        <v>0.078858</v>
      </c>
      <c r="Z261" s="13">
        <v>0.231973</v>
      </c>
      <c r="AA261" s="13">
        <v>0.0209</v>
      </c>
      <c r="AB261" s="13">
        <v>16.7972</v>
      </c>
      <c r="AC261" s="13">
        <v>-1.7809</v>
      </c>
      <c r="AD261" s="13"/>
      <c r="AE261" s="13">
        <v>0.061943</v>
      </c>
      <c r="AF261" s="13">
        <v>0.21</v>
      </c>
      <c r="AG261" s="13">
        <v>3.16190015418915</v>
      </c>
      <c r="AH261" s="13">
        <f t="shared" si="31"/>
        <v>0.0664157594355958</v>
      </c>
      <c r="AI261" s="13">
        <v>0.56</v>
      </c>
      <c r="AJ261" s="13">
        <f t="shared" si="32"/>
        <v>0.375</v>
      </c>
      <c r="AK261" s="13">
        <v>0.083265</v>
      </c>
      <c r="AL261" s="13">
        <v>0.229009</v>
      </c>
      <c r="AM261" s="13">
        <v>0.0249</v>
      </c>
      <c r="AN261" s="13">
        <v>15.0065</v>
      </c>
      <c r="AO261" s="13">
        <v>2.74641892444954</v>
      </c>
      <c r="AP261" s="13"/>
      <c r="AQ261" s="13">
        <v>0.121422</v>
      </c>
      <c r="AR261" s="13">
        <v>0.164</v>
      </c>
      <c r="AS261" s="13">
        <v>2.74395479275031</v>
      </c>
      <c r="AT261" s="13">
        <f t="shared" si="33"/>
        <v>0.0597677485187794</v>
      </c>
      <c r="AU261" s="13">
        <v>0.57</v>
      </c>
      <c r="AV261" s="13">
        <f t="shared" si="34"/>
        <v>0.287719298245614</v>
      </c>
      <c r="AW261" s="13">
        <v>0.086191</v>
      </c>
      <c r="AX261" s="13">
        <v>0.243203</v>
      </c>
      <c r="AY261" s="13">
        <v>0.0221</v>
      </c>
      <c r="AZ261" s="13">
        <v>16.5125</v>
      </c>
      <c r="BA261" s="13">
        <v>3.05109569257817</v>
      </c>
      <c r="BB261" s="13"/>
      <c r="BC261" s="13">
        <v>0.042875</v>
      </c>
    </row>
    <row r="262" spans="1:55">
      <c r="A262" s="8" t="s">
        <v>837</v>
      </c>
      <c r="B262" s="8" t="s">
        <v>838</v>
      </c>
      <c r="C262" s="8" t="s">
        <v>77</v>
      </c>
      <c r="D262" s="9">
        <v>32415</v>
      </c>
      <c r="E262" s="8" t="s">
        <v>188</v>
      </c>
      <c r="F262" s="8" t="s">
        <v>184</v>
      </c>
      <c r="G262" s="10">
        <v>500032779213.65</v>
      </c>
      <c r="H262" s="10">
        <v>0</v>
      </c>
      <c r="I262" s="9">
        <v>5175618342</v>
      </c>
      <c r="J262" s="9">
        <v>15489757739</v>
      </c>
      <c r="K262" s="11">
        <v>81.4082</v>
      </c>
      <c r="L262" s="12">
        <v>39259</v>
      </c>
      <c r="M262" s="12">
        <v>39087</v>
      </c>
      <c r="N262" s="9">
        <f t="shared" si="28"/>
        <v>172</v>
      </c>
      <c r="O262" s="13">
        <v>38.25</v>
      </c>
      <c r="P262" s="13">
        <v>18.54</v>
      </c>
      <c r="Q262" s="13">
        <v>5.2</v>
      </c>
      <c r="R262" s="8"/>
      <c r="S262" s="13">
        <v>425262</v>
      </c>
      <c r="T262" s="13">
        <v>1.03</v>
      </c>
      <c r="U262" s="13">
        <v>13.4698</v>
      </c>
      <c r="V262" s="13">
        <f t="shared" si="29"/>
        <v>0.0764673566051463</v>
      </c>
      <c r="W262" s="13">
        <v>3.08</v>
      </c>
      <c r="X262" s="13">
        <f t="shared" si="30"/>
        <v>0.334415584415584</v>
      </c>
      <c r="Y262" s="13">
        <v>0.227959</v>
      </c>
      <c r="Z262" s="13">
        <v>0.236875</v>
      </c>
      <c r="AA262" s="13">
        <v>0.4873</v>
      </c>
      <c r="AB262" s="13">
        <v>2.2283</v>
      </c>
      <c r="AC262" s="13">
        <v>0.2964</v>
      </c>
      <c r="AD262" s="13">
        <v>1.5089</v>
      </c>
      <c r="AE262" s="13">
        <v>0.332888</v>
      </c>
      <c r="AF262" s="13">
        <v>1.39</v>
      </c>
      <c r="AG262" s="13">
        <v>14.6586185930917</v>
      </c>
      <c r="AH262" s="13">
        <f t="shared" si="31"/>
        <v>0.0948247606807286</v>
      </c>
      <c r="AI262" s="13">
        <v>6.83</v>
      </c>
      <c r="AJ262" s="13">
        <f t="shared" si="32"/>
        <v>0.203513909224012</v>
      </c>
      <c r="AK262" s="13">
        <v>0.657285</v>
      </c>
      <c r="AL262" s="13">
        <v>0.335853</v>
      </c>
      <c r="AM262" s="13">
        <v>0.8451</v>
      </c>
      <c r="AN262" s="13">
        <v>2.7751</v>
      </c>
      <c r="AO262" s="13">
        <v>0.503246462633684</v>
      </c>
      <c r="AP262" s="13">
        <v>1.48882109287064</v>
      </c>
      <c r="AQ262" s="13">
        <v>0.171908</v>
      </c>
      <c r="AR262" s="13">
        <v>0.23</v>
      </c>
      <c r="AS262" s="13">
        <v>10.4344882284382</v>
      </c>
      <c r="AT262" s="13">
        <f t="shared" si="33"/>
        <v>0.022042288511396</v>
      </c>
      <c r="AU262" s="13">
        <v>1.48</v>
      </c>
      <c r="AV262" s="13">
        <f t="shared" si="34"/>
        <v>0.155405405405405</v>
      </c>
      <c r="AW262" s="13">
        <v>0.120355</v>
      </c>
      <c r="AX262" s="13">
        <v>0.161847</v>
      </c>
      <c r="AY262" s="13">
        <v>0.3602</v>
      </c>
      <c r="AZ262" s="13">
        <v>2.457</v>
      </c>
      <c r="BA262" s="13">
        <v>0.128881990641981</v>
      </c>
      <c r="BB262" s="13">
        <v>1.43366040183924</v>
      </c>
      <c r="BC262" s="13">
        <v>-0.551352</v>
      </c>
    </row>
    <row r="263" spans="1:55">
      <c r="A263" s="8" t="s">
        <v>839</v>
      </c>
      <c r="B263" s="8" t="s">
        <v>840</v>
      </c>
      <c r="C263" s="8" t="s">
        <v>77</v>
      </c>
      <c r="D263" s="9">
        <v>373084</v>
      </c>
      <c r="E263" s="8" t="s">
        <v>132</v>
      </c>
      <c r="F263" s="8" t="s">
        <v>59</v>
      </c>
      <c r="G263" s="10">
        <v>45369094000000</v>
      </c>
      <c r="H263" s="10">
        <v>0</v>
      </c>
      <c r="I263" s="9">
        <v>6640365190</v>
      </c>
      <c r="J263" s="9">
        <v>261600381459</v>
      </c>
      <c r="K263" s="11">
        <v>3.6673</v>
      </c>
      <c r="L263" s="12">
        <v>39350</v>
      </c>
      <c r="M263" s="12">
        <v>38247</v>
      </c>
      <c r="N263" s="9">
        <f t="shared" si="28"/>
        <v>1103</v>
      </c>
      <c r="O263" s="13">
        <v>54.61</v>
      </c>
      <c r="P263" s="13">
        <v>35.86</v>
      </c>
      <c r="Q263" s="13">
        <v>4.43</v>
      </c>
      <c r="R263" s="8" t="s">
        <v>841</v>
      </c>
      <c r="S263" s="13">
        <v>277330</v>
      </c>
      <c r="T263" s="13">
        <v>0.206</v>
      </c>
      <c r="U263" s="13">
        <v>7.5119</v>
      </c>
      <c r="V263" s="13">
        <f t="shared" si="29"/>
        <v>0.0274231552603203</v>
      </c>
      <c r="W263" s="13">
        <v>1.31</v>
      </c>
      <c r="X263" s="13">
        <f t="shared" si="30"/>
        <v>0.157251908396947</v>
      </c>
      <c r="Y263" s="13">
        <v>0.103697</v>
      </c>
      <c r="Z263" s="13">
        <v>0.448286</v>
      </c>
      <c r="AA263" s="13">
        <v>0.019</v>
      </c>
      <c r="AB263" s="13">
        <v>12.1898</v>
      </c>
      <c r="AC263" s="13">
        <v>0.4506</v>
      </c>
      <c r="AD263" s="13"/>
      <c r="AE263" s="13">
        <v>-0.025444</v>
      </c>
      <c r="AF263" s="13">
        <v>0.389</v>
      </c>
      <c r="AG263" s="13">
        <v>5.87378236043214</v>
      </c>
      <c r="AH263" s="13">
        <f t="shared" si="31"/>
        <v>0.0662264919143822</v>
      </c>
      <c r="AI263" s="13">
        <v>1.28</v>
      </c>
      <c r="AJ263" s="13">
        <f t="shared" si="32"/>
        <v>0.30390625</v>
      </c>
      <c r="AK263" s="13">
        <v>0.118958</v>
      </c>
      <c r="AL263" s="13">
        <v>0.39292</v>
      </c>
      <c r="AM263" s="13">
        <v>0.0254</v>
      </c>
      <c r="AN263" s="13">
        <v>11.9112</v>
      </c>
      <c r="AO263" s="13">
        <v>1.18960622415569</v>
      </c>
      <c r="AP263" s="13"/>
      <c r="AQ263" s="13">
        <v>-0.002151</v>
      </c>
      <c r="AR263" s="13">
        <v>0.4</v>
      </c>
      <c r="AS263" s="13">
        <v>6.24604462678699</v>
      </c>
      <c r="AT263" s="13">
        <f t="shared" si="33"/>
        <v>0.0640405286706642</v>
      </c>
      <c r="AU263" s="13">
        <v>1.31</v>
      </c>
      <c r="AV263" s="13">
        <f t="shared" si="34"/>
        <v>0.305343511450382</v>
      </c>
      <c r="AW263" s="13">
        <v>0.110757</v>
      </c>
      <c r="AX263" s="13">
        <v>0.431914</v>
      </c>
      <c r="AY263" s="13">
        <v>0.0211</v>
      </c>
      <c r="AZ263" s="13">
        <v>12.1405</v>
      </c>
      <c r="BA263" s="13">
        <v>0.835156469231009</v>
      </c>
      <c r="BB263" s="13"/>
      <c r="BC263" s="13">
        <v>-0.017893</v>
      </c>
    </row>
    <row r="264" spans="1:55">
      <c r="A264" s="8" t="s">
        <v>842</v>
      </c>
      <c r="B264" s="8" t="s">
        <v>843</v>
      </c>
      <c r="C264" s="8" t="s">
        <v>77</v>
      </c>
      <c r="D264" s="9">
        <v>20355</v>
      </c>
      <c r="E264" s="8" t="s">
        <v>132</v>
      </c>
      <c r="F264" s="8" t="s">
        <v>307</v>
      </c>
      <c r="G264" s="10">
        <v>720716955389.04</v>
      </c>
      <c r="H264" s="10">
        <v>3</v>
      </c>
      <c r="I264" s="9">
        <v>7674021658</v>
      </c>
      <c r="J264" s="9">
        <v>20568002074</v>
      </c>
      <c r="K264" s="11">
        <v>91.809</v>
      </c>
      <c r="L264" s="12">
        <v>42165</v>
      </c>
      <c r="M264" s="12">
        <v>39468</v>
      </c>
      <c r="N264" s="9">
        <f t="shared" si="28"/>
        <v>2697</v>
      </c>
      <c r="O264" s="13">
        <v>55.67</v>
      </c>
      <c r="P264" s="13">
        <v>7.02</v>
      </c>
      <c r="Q264" s="13">
        <v>3.4</v>
      </c>
      <c r="R264" s="8" t="s">
        <v>844</v>
      </c>
      <c r="S264" s="13">
        <v>437457</v>
      </c>
      <c r="T264" s="13">
        <v>0.16</v>
      </c>
      <c r="U264" s="13">
        <v>9.9394</v>
      </c>
      <c r="V264" s="13">
        <f t="shared" si="29"/>
        <v>0.0160975511600298</v>
      </c>
      <c r="W264" s="13">
        <v>0.463</v>
      </c>
      <c r="X264" s="13">
        <f t="shared" si="30"/>
        <v>0.345572354211663</v>
      </c>
      <c r="Y264" s="13">
        <v>0.087264</v>
      </c>
      <c r="Z264" s="13">
        <v>0.214218</v>
      </c>
      <c r="AA264" s="13">
        <v>0.1289</v>
      </c>
      <c r="AB264" s="13">
        <v>5.9603</v>
      </c>
      <c r="AC264" s="13">
        <v>0.527</v>
      </c>
      <c r="AD264" s="13">
        <v>0.1943</v>
      </c>
      <c r="AE264" s="13">
        <v>0.030883</v>
      </c>
      <c r="AF264" s="13">
        <v>0.17</v>
      </c>
      <c r="AG264" s="13">
        <v>7.00935391614019</v>
      </c>
      <c r="AH264" s="13">
        <f t="shared" si="31"/>
        <v>0.0242533052309639</v>
      </c>
      <c r="AI264" s="13">
        <v>0.468</v>
      </c>
      <c r="AJ264" s="13">
        <f t="shared" si="32"/>
        <v>0.363247863247863</v>
      </c>
      <c r="AK264" s="13">
        <v>0.109367</v>
      </c>
      <c r="AL264" s="13">
        <v>0.228976</v>
      </c>
      <c r="AM264" s="13">
        <v>0.1631</v>
      </c>
      <c r="AN264" s="13">
        <v>5.306</v>
      </c>
      <c r="AO264" s="13">
        <v>0.655078962829648</v>
      </c>
      <c r="AP264" s="13">
        <v>0.220679327128673</v>
      </c>
      <c r="AQ264" s="13">
        <v>0.137021</v>
      </c>
      <c r="AR264" s="13">
        <v>0.195</v>
      </c>
      <c r="AS264" s="13">
        <v>6.8466694218594</v>
      </c>
      <c r="AT264" s="13">
        <f t="shared" si="33"/>
        <v>0.0284810011970817</v>
      </c>
      <c r="AU264" s="13">
        <v>0.554</v>
      </c>
      <c r="AV264" s="13">
        <f t="shared" si="34"/>
        <v>0.351985559566787</v>
      </c>
      <c r="AW264" s="13">
        <v>0.118312</v>
      </c>
      <c r="AX264" s="13">
        <v>0.258956</v>
      </c>
      <c r="AY264" s="13">
        <v>0.1493</v>
      </c>
      <c r="AZ264" s="13">
        <v>5.5899</v>
      </c>
      <c r="BA264" s="13">
        <v>0.575342815299977</v>
      </c>
      <c r="BB264" s="13">
        <v>0.100644705415945</v>
      </c>
      <c r="BC264" s="13">
        <v>0.051505</v>
      </c>
    </row>
    <row r="265" spans="1:55">
      <c r="A265" s="8" t="s">
        <v>845</v>
      </c>
      <c r="B265" s="8" t="s">
        <v>846</v>
      </c>
      <c r="C265" s="8" t="s">
        <v>77</v>
      </c>
      <c r="D265" s="9">
        <v>310475</v>
      </c>
      <c r="E265" s="8" t="s">
        <v>132</v>
      </c>
      <c r="F265" s="8" t="s">
        <v>59</v>
      </c>
      <c r="G265" s="10">
        <v>37550163000000</v>
      </c>
      <c r="H265" s="10">
        <v>0</v>
      </c>
      <c r="I265" s="9">
        <v>12222418928</v>
      </c>
      <c r="J265" s="9">
        <v>322212411814</v>
      </c>
      <c r="K265" s="11">
        <v>65.412</v>
      </c>
      <c r="L265" s="12">
        <v>38903</v>
      </c>
      <c r="M265" s="12">
        <v>30620</v>
      </c>
      <c r="N265" s="9">
        <f t="shared" si="28"/>
        <v>8283</v>
      </c>
      <c r="O265" s="13">
        <v>58.59</v>
      </c>
      <c r="P265" s="13">
        <v>25.4</v>
      </c>
      <c r="Q265" s="13">
        <v>8.64</v>
      </c>
      <c r="R265" s="8" t="s">
        <v>847</v>
      </c>
      <c r="S265" s="13">
        <v>519660</v>
      </c>
      <c r="T265" s="13">
        <v>0.1216</v>
      </c>
      <c r="U265" s="13">
        <v>4.6846</v>
      </c>
      <c r="V265" s="13">
        <f t="shared" si="29"/>
        <v>0.0259573923067071</v>
      </c>
      <c r="W265" s="13">
        <v>0.75</v>
      </c>
      <c r="X265" s="13">
        <f t="shared" si="30"/>
        <v>0.162133333333333</v>
      </c>
      <c r="Y265" s="13">
        <v>0.087349</v>
      </c>
      <c r="Z265" s="13">
        <v>0.401084</v>
      </c>
      <c r="AA265" s="13">
        <v>0.0187</v>
      </c>
      <c r="AB265" s="13">
        <v>12.3938</v>
      </c>
      <c r="AC265" s="13">
        <v>0.8744</v>
      </c>
      <c r="AD265" s="13"/>
      <c r="AE265" s="13">
        <v>0.011561</v>
      </c>
      <c r="AF265" s="13">
        <v>0.232</v>
      </c>
      <c r="AG265" s="13">
        <v>3.14524013770556</v>
      </c>
      <c r="AH265" s="13">
        <f t="shared" si="31"/>
        <v>0.0737622533868727</v>
      </c>
      <c r="AI265" s="13">
        <v>0.73</v>
      </c>
      <c r="AJ265" s="13">
        <f t="shared" si="32"/>
        <v>0.317808219178082</v>
      </c>
      <c r="AK265" s="13">
        <v>0.097766</v>
      </c>
      <c r="AL265" s="13">
        <v>0.384305</v>
      </c>
      <c r="AM265" s="13">
        <v>0.0222</v>
      </c>
      <c r="AN265" s="13">
        <v>11.9577</v>
      </c>
      <c r="AO265" s="13">
        <v>-0.0183443930428198</v>
      </c>
      <c r="AP265" s="13"/>
      <c r="AQ265" s="13">
        <v>0.02056</v>
      </c>
      <c r="AR265" s="13">
        <v>0.2364</v>
      </c>
      <c r="AS265" s="13">
        <v>3.82978968996301</v>
      </c>
      <c r="AT265" s="13">
        <f t="shared" si="33"/>
        <v>0.0617266270833486</v>
      </c>
      <c r="AU265" s="13">
        <v>0.74</v>
      </c>
      <c r="AV265" s="13">
        <f t="shared" si="34"/>
        <v>0.319459459459459</v>
      </c>
      <c r="AW265" s="13">
        <v>0.091714</v>
      </c>
      <c r="AX265" s="13">
        <v>0.39553</v>
      </c>
      <c r="AY265" s="13">
        <v>0.0203</v>
      </c>
      <c r="AZ265" s="13">
        <v>12.1307</v>
      </c>
      <c r="BA265" s="13">
        <v>1.31074075798417</v>
      </c>
      <c r="BB265" s="13"/>
      <c r="BC265" s="13">
        <v>0.0641</v>
      </c>
    </row>
    <row r="266" spans="1:55">
      <c r="A266" s="8" t="s">
        <v>848</v>
      </c>
      <c r="B266" s="8" t="s">
        <v>849</v>
      </c>
      <c r="C266" s="8" t="s">
        <v>77</v>
      </c>
      <c r="D266" s="9">
        <v>14409</v>
      </c>
      <c r="E266" s="8" t="s">
        <v>132</v>
      </c>
      <c r="F266" s="8" t="s">
        <v>59</v>
      </c>
      <c r="G266" s="10">
        <v>764940856885</v>
      </c>
      <c r="H266" s="10">
        <v>0</v>
      </c>
      <c r="I266" s="9">
        <v>987386760</v>
      </c>
      <c r="J266" s="9">
        <v>4827256868</v>
      </c>
      <c r="K266" s="11">
        <v>60.5632</v>
      </c>
      <c r="L266" s="12">
        <v>44137</v>
      </c>
      <c r="M266" s="12">
        <v>34911</v>
      </c>
      <c r="N266" s="9">
        <f t="shared" si="28"/>
        <v>9226</v>
      </c>
      <c r="O266" s="13">
        <v>40.11</v>
      </c>
      <c r="P266" s="13">
        <v>39.42</v>
      </c>
      <c r="Q266" s="13">
        <v>1.74</v>
      </c>
      <c r="R266" s="8"/>
      <c r="S266" s="13">
        <v>118543</v>
      </c>
      <c r="T266" s="13">
        <v>0.09</v>
      </c>
      <c r="U266" s="13">
        <v>34.5993</v>
      </c>
      <c r="V266" s="13">
        <f t="shared" si="29"/>
        <v>0.0026012086949736</v>
      </c>
      <c r="W266" s="13">
        <v>1.035</v>
      </c>
      <c r="X266" s="13">
        <f t="shared" si="30"/>
        <v>0.0869565217391304</v>
      </c>
      <c r="Y266" s="13">
        <v>0.051778</v>
      </c>
      <c r="Z266" s="13">
        <v>0.265982</v>
      </c>
      <c r="AA266" s="13">
        <v>0.0328</v>
      </c>
      <c r="AB266" s="13">
        <v>5.906</v>
      </c>
      <c r="AC266" s="13">
        <v>1.9628</v>
      </c>
      <c r="AD266" s="13"/>
      <c r="AE266" s="13">
        <v>-0.072064</v>
      </c>
      <c r="AF266" s="13">
        <v>0.18</v>
      </c>
      <c r="AG266" s="13">
        <v>41.1405719035049</v>
      </c>
      <c r="AH266" s="13">
        <f t="shared" si="31"/>
        <v>0.00437524301855087</v>
      </c>
      <c r="AI266" s="13">
        <v>1.459</v>
      </c>
      <c r="AJ266" s="13">
        <f t="shared" si="32"/>
        <v>0.123372172721042</v>
      </c>
      <c r="AK266" s="13">
        <v>0.082757</v>
      </c>
      <c r="AL266" s="13">
        <v>0.291132</v>
      </c>
      <c r="AM266" s="13">
        <v>0.0402</v>
      </c>
      <c r="AN266" s="13">
        <v>7.0724</v>
      </c>
      <c r="AO266" s="13">
        <v>1.9144184219412</v>
      </c>
      <c r="AP266" s="13"/>
      <c r="AQ266" s="13">
        <v>-0.134203</v>
      </c>
      <c r="AR266" s="13">
        <v>0.18</v>
      </c>
      <c r="AS266" s="13">
        <v>40.7949156093373</v>
      </c>
      <c r="AT266" s="13">
        <f t="shared" si="33"/>
        <v>0.00441231455713076</v>
      </c>
      <c r="AU266" s="13">
        <v>1.138</v>
      </c>
      <c r="AV266" s="13">
        <f t="shared" si="34"/>
        <v>0.15817223198594</v>
      </c>
      <c r="AW266" s="13">
        <v>0.060416</v>
      </c>
      <c r="AX266" s="13">
        <v>0.268099</v>
      </c>
      <c r="AY266" s="13">
        <v>0.0361</v>
      </c>
      <c r="AZ266" s="13">
        <v>6.2469</v>
      </c>
      <c r="BA266" s="13">
        <v>-0.460386853978235</v>
      </c>
      <c r="BB266" s="13"/>
      <c r="BC266" s="13">
        <v>-0.118723</v>
      </c>
    </row>
    <row r="267" spans="1:55">
      <c r="A267" s="8" t="s">
        <v>850</v>
      </c>
      <c r="B267" s="8" t="s">
        <v>851</v>
      </c>
      <c r="C267" s="8" t="s">
        <v>77</v>
      </c>
      <c r="D267" s="9">
        <v>65248</v>
      </c>
      <c r="E267" s="8" t="s">
        <v>132</v>
      </c>
      <c r="F267" s="8" t="s">
        <v>59</v>
      </c>
      <c r="G267" s="10">
        <v>9898128000000</v>
      </c>
      <c r="H267" s="10">
        <v>0</v>
      </c>
      <c r="I267" s="9">
        <v>3894820717</v>
      </c>
      <c r="J267" s="9">
        <v>55645162264</v>
      </c>
      <c r="K267" s="11">
        <v>73.2552</v>
      </c>
      <c r="L267" s="12">
        <v>39199</v>
      </c>
      <c r="M267" s="12">
        <v>31887</v>
      </c>
      <c r="N267" s="9">
        <f t="shared" si="28"/>
        <v>7312</v>
      </c>
      <c r="O267" s="13">
        <v>64.75</v>
      </c>
      <c r="P267" s="13">
        <v>21.3</v>
      </c>
      <c r="Q267" s="13">
        <v>4.64</v>
      </c>
      <c r="R267" s="8" t="s">
        <v>852</v>
      </c>
      <c r="S267" s="13">
        <v>101048</v>
      </c>
      <c r="T267" s="13">
        <v>0.1722</v>
      </c>
      <c r="U267" s="13">
        <v>6.6184</v>
      </c>
      <c r="V267" s="13">
        <f t="shared" si="29"/>
        <v>0.0260183730206696</v>
      </c>
      <c r="W267" s="13">
        <v>1.22</v>
      </c>
      <c r="X267" s="13">
        <f t="shared" si="30"/>
        <v>0.141147540983607</v>
      </c>
      <c r="Y267" s="13">
        <v>0.091041</v>
      </c>
      <c r="Z267" s="13">
        <v>0.325155</v>
      </c>
      <c r="AA267" s="13">
        <v>0.023</v>
      </c>
      <c r="AB267" s="13">
        <v>12.3368</v>
      </c>
      <c r="AC267" s="13">
        <v>-0.8473</v>
      </c>
      <c r="AD267" s="13"/>
      <c r="AE267" s="13">
        <v>0.03764</v>
      </c>
      <c r="AF267" s="13">
        <v>0.329</v>
      </c>
      <c r="AG267" s="13">
        <v>4.75303100133568</v>
      </c>
      <c r="AH267" s="13">
        <f t="shared" si="31"/>
        <v>0.0692189888741617</v>
      </c>
      <c r="AI267" s="13">
        <v>1.17</v>
      </c>
      <c r="AJ267" s="13">
        <f t="shared" si="32"/>
        <v>0.281196581196581</v>
      </c>
      <c r="AK267" s="13">
        <v>0.096155</v>
      </c>
      <c r="AL267" s="13">
        <v>0.297788</v>
      </c>
      <c r="AM267" s="13">
        <v>0.0255</v>
      </c>
      <c r="AN267" s="13">
        <v>12.8437</v>
      </c>
      <c r="AO267" s="13">
        <v>0.922769073569482</v>
      </c>
      <c r="AP267" s="13"/>
      <c r="AQ267" s="13">
        <v>0.033414</v>
      </c>
      <c r="AR267" s="13">
        <v>0.3261</v>
      </c>
      <c r="AS267" s="13">
        <v>5.93424422197482</v>
      </c>
      <c r="AT267" s="13">
        <f t="shared" si="33"/>
        <v>0.0549522378591084</v>
      </c>
      <c r="AU267" s="13">
        <v>1.27</v>
      </c>
      <c r="AV267" s="13">
        <f t="shared" si="34"/>
        <v>0.256771653543307</v>
      </c>
      <c r="AW267" s="13">
        <v>0.096939</v>
      </c>
      <c r="AX267" s="13">
        <v>0.330565</v>
      </c>
      <c r="AY267" s="13">
        <v>0.0234</v>
      </c>
      <c r="AZ267" s="13">
        <v>12.7293</v>
      </c>
      <c r="BA267" s="13">
        <v>-0.00445856160391654</v>
      </c>
      <c r="BB267" s="13"/>
      <c r="BC267" s="13">
        <v>-0.025999</v>
      </c>
    </row>
    <row r="268" spans="1:55">
      <c r="A268" s="8" t="s">
        <v>853</v>
      </c>
      <c r="B268" s="8" t="s">
        <v>854</v>
      </c>
      <c r="C268" s="8" t="s">
        <v>77</v>
      </c>
      <c r="D268" s="9">
        <v>5991</v>
      </c>
      <c r="E268" s="8" t="s">
        <v>188</v>
      </c>
      <c r="F268" s="8" t="s">
        <v>67</v>
      </c>
      <c r="G268" s="10">
        <v>36990049910.63</v>
      </c>
      <c r="H268" s="10">
        <v>3</v>
      </c>
      <c r="I268" s="9">
        <v>1221586316</v>
      </c>
      <c r="J268" s="9">
        <v>1463115784</v>
      </c>
      <c r="K268" s="11">
        <v>99.9721</v>
      </c>
      <c r="L268" s="12">
        <v>41949</v>
      </c>
      <c r="M268" s="12">
        <v>38783</v>
      </c>
      <c r="N268" s="9">
        <f t="shared" si="28"/>
        <v>3166</v>
      </c>
      <c r="O268" s="13">
        <v>14.68</v>
      </c>
      <c r="P268" s="13">
        <v>2.88</v>
      </c>
      <c r="Q268" s="13">
        <v>2.27</v>
      </c>
      <c r="R268" s="8" t="s">
        <v>855</v>
      </c>
      <c r="S268" s="13">
        <v>357405</v>
      </c>
      <c r="T268" s="13">
        <v>0.27</v>
      </c>
      <c r="U268" s="13">
        <v>54.7058</v>
      </c>
      <c r="V268" s="13">
        <f t="shared" si="29"/>
        <v>0.00493549130073959</v>
      </c>
      <c r="W268" s="13">
        <v>1.31</v>
      </c>
      <c r="X268" s="13">
        <f t="shared" si="30"/>
        <v>0.206106870229008</v>
      </c>
      <c r="Y268" s="13">
        <v>0.097877</v>
      </c>
      <c r="Z268" s="13">
        <v>0.151618</v>
      </c>
      <c r="AA268" s="13">
        <v>0.3854</v>
      </c>
      <c r="AB268" s="13">
        <v>1.7472</v>
      </c>
      <c r="AC268" s="13">
        <v>0.207</v>
      </c>
      <c r="AD268" s="13">
        <v>1.1801</v>
      </c>
      <c r="AE268" s="13">
        <v>-0.083955</v>
      </c>
      <c r="AF268" s="13">
        <v>0.22</v>
      </c>
      <c r="AG268" s="13">
        <v>28.1855996297415</v>
      </c>
      <c r="AH268" s="13">
        <f t="shared" si="31"/>
        <v>0.00780540428055522</v>
      </c>
      <c r="AI268" s="13">
        <v>1.06</v>
      </c>
      <c r="AJ268" s="13">
        <f t="shared" si="32"/>
        <v>0.207547169811321</v>
      </c>
      <c r="AK268" s="13">
        <v>0.104033</v>
      </c>
      <c r="AL268" s="13">
        <v>0.124323</v>
      </c>
      <c r="AM268" s="13">
        <v>0.4491</v>
      </c>
      <c r="AN268" s="13">
        <v>1.9514</v>
      </c>
      <c r="AO268" s="13">
        <v>0.0864761421919851</v>
      </c>
      <c r="AP268" s="13">
        <v>0.974490575371463</v>
      </c>
      <c r="AQ268" s="13">
        <v>0.154354</v>
      </c>
      <c r="AR268" s="13">
        <v>0.17</v>
      </c>
      <c r="AS268" s="13">
        <v>42.2437085798926</v>
      </c>
      <c r="AT268" s="13">
        <f t="shared" si="33"/>
        <v>0.00402426789017566</v>
      </c>
      <c r="AU268" s="13">
        <v>1.26</v>
      </c>
      <c r="AV268" s="13">
        <f t="shared" si="34"/>
        <v>0.134920634920635</v>
      </c>
      <c r="AW268" s="13">
        <v>0.102946</v>
      </c>
      <c r="AX268" s="13">
        <v>0.13084</v>
      </c>
      <c r="AY268" s="13">
        <v>0.4526</v>
      </c>
      <c r="AZ268" s="13">
        <v>1.7783</v>
      </c>
      <c r="BA268" s="13">
        <v>0.244542027807158</v>
      </c>
      <c r="BB268" s="13">
        <v>1.47269506971441</v>
      </c>
      <c r="BC268" s="13">
        <v>0.103375</v>
      </c>
    </row>
    <row r="269" spans="1:55">
      <c r="A269" s="8" t="s">
        <v>856</v>
      </c>
      <c r="B269" s="8" t="s">
        <v>857</v>
      </c>
      <c r="C269" s="8" t="s">
        <v>82</v>
      </c>
      <c r="D269" s="9">
        <v>13223</v>
      </c>
      <c r="E269" s="8" t="s">
        <v>165</v>
      </c>
      <c r="F269" s="8" t="s">
        <v>67</v>
      </c>
      <c r="G269" s="10">
        <v>21273828801.85</v>
      </c>
      <c r="H269" s="10">
        <v>5</v>
      </c>
      <c r="I269" s="9">
        <v>303958899</v>
      </c>
      <c r="J269" s="9">
        <v>1808587688</v>
      </c>
      <c r="K269" s="11">
        <v>99.5654</v>
      </c>
      <c r="L269" s="12">
        <v>43867</v>
      </c>
      <c r="M269" s="12">
        <v>39465</v>
      </c>
      <c r="N269" s="9">
        <f t="shared" si="28"/>
        <v>4402</v>
      </c>
      <c r="O269" s="13">
        <v>53.82</v>
      </c>
      <c r="P269" s="13">
        <v>16.13</v>
      </c>
      <c r="Q269" s="13">
        <v>12.1315</v>
      </c>
      <c r="R269" s="8"/>
      <c r="S269" s="13">
        <v>52779</v>
      </c>
      <c r="T269" s="13">
        <v>2.4</v>
      </c>
      <c r="U269" s="13">
        <v>82.969</v>
      </c>
      <c r="V269" s="13">
        <f t="shared" si="29"/>
        <v>0.0289264665115887</v>
      </c>
      <c r="W269" s="13">
        <v>3.31</v>
      </c>
      <c r="X269" s="13">
        <f t="shared" si="30"/>
        <v>0.725075528700906</v>
      </c>
      <c r="Y269" s="13">
        <v>0.281882</v>
      </c>
      <c r="Z269" s="13">
        <v>0.253656</v>
      </c>
      <c r="AA269" s="13">
        <v>0.8362</v>
      </c>
      <c r="AB269" s="13">
        <v>1.3281</v>
      </c>
      <c r="AC269" s="13">
        <v>0.2216</v>
      </c>
      <c r="AD269" s="13">
        <v>3.244</v>
      </c>
      <c r="AE269" s="13">
        <v>0.072367</v>
      </c>
      <c r="AF269" s="13">
        <v>3.3</v>
      </c>
      <c r="AG269" s="13">
        <v>143.379667235682</v>
      </c>
      <c r="AH269" s="13">
        <f t="shared" si="31"/>
        <v>0.0230158157263372</v>
      </c>
      <c r="AI269" s="13">
        <v>5.32</v>
      </c>
      <c r="AJ269" s="13">
        <f t="shared" si="32"/>
        <v>0.620300751879699</v>
      </c>
      <c r="AK269" s="13">
        <v>0.27542</v>
      </c>
      <c r="AL269" s="13">
        <v>0.226218</v>
      </c>
      <c r="AM269" s="13">
        <v>0.8767</v>
      </c>
      <c r="AN269" s="13">
        <v>1.3874</v>
      </c>
      <c r="AO269" s="13">
        <v>0.217160230855405</v>
      </c>
      <c r="AP269" s="13">
        <v>2.8296548476804</v>
      </c>
      <c r="AQ269" s="13">
        <v>0.136978</v>
      </c>
      <c r="AR269" s="13">
        <v>3.1</v>
      </c>
      <c r="AS269" s="13">
        <v>118.506302475994</v>
      </c>
      <c r="AT269" s="13">
        <f t="shared" si="33"/>
        <v>0.026158946277376</v>
      </c>
      <c r="AU269" s="13">
        <v>4.36</v>
      </c>
      <c r="AV269" s="13">
        <f t="shared" si="34"/>
        <v>0.711009174311927</v>
      </c>
      <c r="AW269" s="13">
        <v>0.288334</v>
      </c>
      <c r="AX269" s="13">
        <v>0.246218</v>
      </c>
      <c r="AY269" s="13">
        <v>0.862</v>
      </c>
      <c r="AZ269" s="13">
        <v>1.3564</v>
      </c>
      <c r="BA269" s="13">
        <v>0.307572938353417</v>
      </c>
      <c r="BB269" s="13">
        <v>2.85415312343806</v>
      </c>
      <c r="BC269" s="13">
        <v>0.114576</v>
      </c>
    </row>
    <row r="270" spans="1:55">
      <c r="A270" s="8" t="s">
        <v>858</v>
      </c>
      <c r="B270" s="8" t="s">
        <v>859</v>
      </c>
      <c r="C270" s="8" t="s">
        <v>82</v>
      </c>
      <c r="D270" s="9">
        <v>37832</v>
      </c>
      <c r="E270" s="8" t="s">
        <v>83</v>
      </c>
      <c r="F270" s="8" t="s">
        <v>342</v>
      </c>
      <c r="G270" s="10">
        <v>94606135416.07</v>
      </c>
      <c r="H270" s="10">
        <v>0</v>
      </c>
      <c r="I270" s="9">
        <v>2029313062</v>
      </c>
      <c r="J270" s="9">
        <v>2983757155</v>
      </c>
      <c r="K270" s="11">
        <v>82.8915</v>
      </c>
      <c r="L270" s="12">
        <v>43228</v>
      </c>
      <c r="M270" s="12">
        <v>36861</v>
      </c>
      <c r="N270" s="9">
        <f t="shared" si="28"/>
        <v>6367</v>
      </c>
      <c r="O270" s="13">
        <v>16.1219</v>
      </c>
      <c r="P270" s="13">
        <v>8.3937</v>
      </c>
      <c r="Q270" s="13">
        <v>4.8223</v>
      </c>
      <c r="R270" s="8" t="s">
        <v>860</v>
      </c>
      <c r="S270" s="13">
        <v>274055</v>
      </c>
      <c r="T270" s="13">
        <v>0.98169</v>
      </c>
      <c r="U270" s="13">
        <v>49.0341</v>
      </c>
      <c r="V270" s="13">
        <f t="shared" si="29"/>
        <v>0.0200205571224923</v>
      </c>
      <c r="W270" s="13">
        <v>3.28</v>
      </c>
      <c r="X270" s="13">
        <f t="shared" si="30"/>
        <v>0.299295731707317</v>
      </c>
      <c r="Y270" s="13">
        <v>0.166152</v>
      </c>
      <c r="Z270" s="13">
        <v>0.243817</v>
      </c>
      <c r="AA270" s="13">
        <v>0.5096</v>
      </c>
      <c r="AB270" s="13">
        <v>1.3537</v>
      </c>
      <c r="AC270" s="13">
        <v>0.3162</v>
      </c>
      <c r="AD270" s="13">
        <v>1.2109</v>
      </c>
      <c r="AE270" s="13">
        <v>-0.027252</v>
      </c>
      <c r="AF270" s="13">
        <v>0.89266</v>
      </c>
      <c r="AG270" s="13">
        <v>93.2293207809709</v>
      </c>
      <c r="AH270" s="13">
        <f t="shared" si="31"/>
        <v>0.00957488473070804</v>
      </c>
      <c r="AI270" s="13">
        <v>3.01</v>
      </c>
      <c r="AJ270" s="13">
        <f t="shared" si="32"/>
        <v>0.296564784053156</v>
      </c>
      <c r="AK270" s="13">
        <v>0.207183</v>
      </c>
      <c r="AL270" s="13">
        <v>0.226214</v>
      </c>
      <c r="AM270" s="13">
        <v>0.6569</v>
      </c>
      <c r="AN270" s="13">
        <v>1.4083</v>
      </c>
      <c r="AO270" s="13">
        <v>0.269751997308654</v>
      </c>
      <c r="AP270" s="13">
        <v>0.556049436614451</v>
      </c>
      <c r="AQ270" s="13">
        <v>0.71837</v>
      </c>
      <c r="AR270" s="13">
        <v>0.98974</v>
      </c>
      <c r="AS270" s="13">
        <v>78.0867884458497</v>
      </c>
      <c r="AT270" s="13">
        <f t="shared" si="33"/>
        <v>0.0126748713796361</v>
      </c>
      <c r="AU270" s="13">
        <v>3.27</v>
      </c>
      <c r="AV270" s="13">
        <f t="shared" si="34"/>
        <v>0.302672782874618</v>
      </c>
      <c r="AW270" s="13">
        <v>0.1889</v>
      </c>
      <c r="AX270" s="13">
        <v>0.240458</v>
      </c>
      <c r="AY270" s="13">
        <v>0.5831</v>
      </c>
      <c r="AZ270" s="13">
        <v>1.3603</v>
      </c>
      <c r="BA270" s="13">
        <v>0.331845414484983</v>
      </c>
      <c r="BB270" s="13">
        <v>0.934872719200206</v>
      </c>
      <c r="BC270" s="13">
        <v>0.025055</v>
      </c>
    </row>
    <row r="271" spans="1:55">
      <c r="A271" s="8" t="s">
        <v>861</v>
      </c>
      <c r="B271" s="8" t="s">
        <v>862</v>
      </c>
      <c r="C271" s="8" t="s">
        <v>82</v>
      </c>
      <c r="D271" s="9">
        <v>21653</v>
      </c>
      <c r="E271" s="8" t="s">
        <v>165</v>
      </c>
      <c r="F271" s="8" t="s">
        <v>67</v>
      </c>
      <c r="G271" s="10">
        <v>86148339207.96</v>
      </c>
      <c r="H271" s="10">
        <v>0</v>
      </c>
      <c r="I271" s="9">
        <v>253101712</v>
      </c>
      <c r="J271" s="9">
        <v>1182206941</v>
      </c>
      <c r="K271" s="11">
        <v>100</v>
      </c>
      <c r="L271" s="12">
        <v>43038</v>
      </c>
      <c r="M271" s="12">
        <v>38587</v>
      </c>
      <c r="N271" s="9">
        <f t="shared" si="28"/>
        <v>4451</v>
      </c>
      <c r="O271" s="13">
        <v>41.16</v>
      </c>
      <c r="P271" s="13">
        <v>16.28</v>
      </c>
      <c r="Q271" s="13">
        <v>15.18</v>
      </c>
      <c r="R271" s="8" t="s">
        <v>863</v>
      </c>
      <c r="S271" s="13">
        <v>50880</v>
      </c>
      <c r="T271" s="13">
        <v>0.45</v>
      </c>
      <c r="U271" s="13">
        <v>53.8541</v>
      </c>
      <c r="V271" s="13">
        <f t="shared" si="29"/>
        <v>0.00835590976360203</v>
      </c>
      <c r="W271" s="13">
        <v>1.48</v>
      </c>
      <c r="X271" s="13">
        <f t="shared" si="30"/>
        <v>0.304054054054054</v>
      </c>
      <c r="Y271" s="13">
        <v>0.053342</v>
      </c>
      <c r="Z271" s="13">
        <v>0.063767</v>
      </c>
      <c r="AA271" s="13">
        <v>0.3066</v>
      </c>
      <c r="AB271" s="13">
        <v>2.6682</v>
      </c>
      <c r="AC271" s="13">
        <v>0.1692</v>
      </c>
      <c r="AD271" s="13">
        <v>0.0497</v>
      </c>
      <c r="AE271" s="13">
        <v>0.004089</v>
      </c>
      <c r="AF271" s="13">
        <v>0.88</v>
      </c>
      <c r="AG271" s="13">
        <v>112.524005591533</v>
      </c>
      <c r="AH271" s="13">
        <f t="shared" si="31"/>
        <v>0.0078205534487853</v>
      </c>
      <c r="AI271" s="13">
        <v>4.79</v>
      </c>
      <c r="AJ271" s="13">
        <f t="shared" si="32"/>
        <v>0.183716075156576</v>
      </c>
      <c r="AK271" s="13">
        <v>0.234273</v>
      </c>
      <c r="AL271" s="13">
        <v>0.217325</v>
      </c>
      <c r="AM271" s="13">
        <v>0.5629</v>
      </c>
      <c r="AN271" s="13">
        <v>1.9123</v>
      </c>
      <c r="AO271" s="13">
        <v>-0.0264629025918455</v>
      </c>
      <c r="AP271" s="13">
        <v>0.172185993763873</v>
      </c>
      <c r="AQ271" s="13">
        <v>0.106213</v>
      </c>
      <c r="AR271" s="13">
        <v>0.68</v>
      </c>
      <c r="AS271" s="13">
        <v>73.5615342031106</v>
      </c>
      <c r="AT271" s="13">
        <f t="shared" si="33"/>
        <v>0.00924396163519991</v>
      </c>
      <c r="AU271" s="13">
        <v>2.24</v>
      </c>
      <c r="AV271" s="13">
        <f t="shared" si="34"/>
        <v>0.303571428571429</v>
      </c>
      <c r="AW271" s="13">
        <v>0.093276</v>
      </c>
      <c r="AX271" s="13">
        <v>0.097166</v>
      </c>
      <c r="AY271" s="13">
        <v>0.3879</v>
      </c>
      <c r="AZ271" s="13">
        <v>2.4374</v>
      </c>
      <c r="BA271" s="13">
        <v>-0.0297252503735549</v>
      </c>
      <c r="BB271" s="13">
        <v>0.0934686078434111</v>
      </c>
      <c r="BC271" s="13">
        <v>0.123713</v>
      </c>
    </row>
    <row r="272" spans="1:55">
      <c r="A272" s="8" t="s">
        <v>864</v>
      </c>
      <c r="B272" s="8" t="s">
        <v>865</v>
      </c>
      <c r="C272" s="8" t="s">
        <v>82</v>
      </c>
      <c r="D272" s="9">
        <v>9010</v>
      </c>
      <c r="E272" s="8" t="s">
        <v>58</v>
      </c>
      <c r="F272" s="8" t="s">
        <v>67</v>
      </c>
      <c r="G272" s="10">
        <v>47348122577.09</v>
      </c>
      <c r="H272" s="10">
        <v>0</v>
      </c>
      <c r="I272" s="9">
        <v>1453734558</v>
      </c>
      <c r="J272" s="9">
        <v>5851824944</v>
      </c>
      <c r="K272" s="11">
        <v>95.0234</v>
      </c>
      <c r="L272" s="12">
        <v>41681</v>
      </c>
      <c r="M272" s="12">
        <v>36624</v>
      </c>
      <c r="N272" s="9">
        <f t="shared" si="28"/>
        <v>5057</v>
      </c>
      <c r="O272" s="13">
        <v>55.36</v>
      </c>
      <c r="P272" s="13">
        <v>9.09</v>
      </c>
      <c r="Q272" s="13">
        <v>4.98</v>
      </c>
      <c r="R272" s="8" t="s">
        <v>866</v>
      </c>
      <c r="S272" s="13">
        <v>211189</v>
      </c>
      <c r="T272" s="13">
        <v>0.86</v>
      </c>
      <c r="U272" s="13">
        <v>40.0571</v>
      </c>
      <c r="V272" s="13">
        <f t="shared" si="29"/>
        <v>0.0214693524993072</v>
      </c>
      <c r="W272" s="13">
        <v>1.14</v>
      </c>
      <c r="X272" s="13">
        <f t="shared" si="30"/>
        <v>0.754385964912281</v>
      </c>
      <c r="Y272" s="13">
        <v>0.213513</v>
      </c>
      <c r="Z272" s="13">
        <v>0.236269</v>
      </c>
      <c r="AA272" s="13">
        <v>0.6786</v>
      </c>
      <c r="AB272" s="13">
        <v>1.3341</v>
      </c>
      <c r="AC272" s="13">
        <v>0.2544</v>
      </c>
      <c r="AD272" s="13">
        <v>3.3089</v>
      </c>
      <c r="AE272" s="13">
        <v>0.095347</v>
      </c>
      <c r="AF272" s="13">
        <v>0.7</v>
      </c>
      <c r="AG272" s="13">
        <v>81.8288290250986</v>
      </c>
      <c r="AH272" s="13">
        <f t="shared" si="31"/>
        <v>0.00855444234433925</v>
      </c>
      <c r="AI272" s="13">
        <v>1.34</v>
      </c>
      <c r="AJ272" s="13">
        <f t="shared" si="32"/>
        <v>0.522388059701492</v>
      </c>
      <c r="AK272" s="13">
        <v>0.248908</v>
      </c>
      <c r="AL272" s="13">
        <v>0.24222</v>
      </c>
      <c r="AM272" s="13">
        <v>0.76</v>
      </c>
      <c r="AN272" s="13">
        <v>1.3534</v>
      </c>
      <c r="AO272" s="13">
        <v>0.149565265081617</v>
      </c>
      <c r="AP272" s="13">
        <v>3.61719275783793</v>
      </c>
      <c r="AQ272" s="13">
        <v>0.024221</v>
      </c>
      <c r="AR272" s="13">
        <v>0.66</v>
      </c>
      <c r="AS272" s="13">
        <v>48.5792103459866</v>
      </c>
      <c r="AT272" s="13">
        <f t="shared" si="33"/>
        <v>0.0135860586308301</v>
      </c>
      <c r="AU272" s="13">
        <v>1.01</v>
      </c>
      <c r="AV272" s="13">
        <f t="shared" si="34"/>
        <v>0.653465346534653</v>
      </c>
      <c r="AW272" s="13">
        <v>0.204872</v>
      </c>
      <c r="AX272" s="13">
        <v>0.229737</v>
      </c>
      <c r="AY272" s="13">
        <v>0.6777</v>
      </c>
      <c r="AZ272" s="13">
        <v>1.3196</v>
      </c>
      <c r="BA272" s="13">
        <v>0.29950557617165</v>
      </c>
      <c r="BB272" s="13">
        <v>3.0807584920235</v>
      </c>
      <c r="BC272" s="13">
        <v>-0.041013</v>
      </c>
    </row>
    <row r="273" spans="1:55">
      <c r="A273" s="8" t="s">
        <v>867</v>
      </c>
      <c r="B273" s="8" t="s">
        <v>868</v>
      </c>
      <c r="C273" s="8" t="s">
        <v>82</v>
      </c>
      <c r="D273" s="9">
        <v>58263</v>
      </c>
      <c r="E273" s="8" t="s">
        <v>198</v>
      </c>
      <c r="F273" s="8" t="s">
        <v>67</v>
      </c>
      <c r="G273" s="10">
        <v>102758614697.67</v>
      </c>
      <c r="H273" s="10">
        <v>11</v>
      </c>
      <c r="I273" s="9">
        <v>498117859</v>
      </c>
      <c r="J273" s="9">
        <v>1015732344</v>
      </c>
      <c r="K273" s="11">
        <v>56.2332</v>
      </c>
      <c r="L273" s="12">
        <v>45146</v>
      </c>
      <c r="M273" s="12">
        <v>38593</v>
      </c>
      <c r="N273" s="9">
        <f t="shared" si="28"/>
        <v>6553</v>
      </c>
      <c r="O273" s="13">
        <v>31.63</v>
      </c>
      <c r="P273" s="13">
        <v>5.58</v>
      </c>
      <c r="Q273" s="13">
        <v>4.93</v>
      </c>
      <c r="R273" s="8" t="s">
        <v>869</v>
      </c>
      <c r="S273" s="13">
        <v>46681</v>
      </c>
      <c r="T273" s="13">
        <v>0.9</v>
      </c>
      <c r="U273" s="13">
        <v>62.6562</v>
      </c>
      <c r="V273" s="13">
        <f t="shared" si="29"/>
        <v>0.0143641012381855</v>
      </c>
      <c r="W273" s="13">
        <v>2.89</v>
      </c>
      <c r="X273" s="13">
        <f t="shared" si="30"/>
        <v>0.311418685121107</v>
      </c>
      <c r="Y273" s="13">
        <v>0.134819</v>
      </c>
      <c r="Z273" s="13">
        <v>0.026517</v>
      </c>
      <c r="AA273" s="13">
        <v>1.7194</v>
      </c>
      <c r="AB273" s="13">
        <v>2.9442</v>
      </c>
      <c r="AC273" s="13">
        <v>0.0125</v>
      </c>
      <c r="AD273" s="13">
        <v>0.3049</v>
      </c>
      <c r="AE273" s="13">
        <v>0.287555</v>
      </c>
      <c r="AF273" s="13"/>
      <c r="AG273" s="13"/>
      <c r="AH273" s="13" t="e">
        <f t="shared" si="31"/>
        <v>#DIV/0!</v>
      </c>
      <c r="AI273" s="13">
        <v>3.9331</v>
      </c>
      <c r="AJ273" s="13">
        <f t="shared" si="32"/>
        <v>0</v>
      </c>
      <c r="AK273" s="13">
        <v>0.233647</v>
      </c>
      <c r="AL273" s="13">
        <v>0.026904</v>
      </c>
      <c r="AM273" s="13">
        <v>2.0805</v>
      </c>
      <c r="AN273" s="13">
        <v>4.0584</v>
      </c>
      <c r="AO273" s="13">
        <v>0.0277105787583696</v>
      </c>
      <c r="AP273" s="13">
        <v>0.313077688508649</v>
      </c>
      <c r="AQ273" s="13">
        <v>0.106105</v>
      </c>
      <c r="AR273" s="13">
        <v>1.2</v>
      </c>
      <c r="AS273" s="13">
        <v>75.6555671672835</v>
      </c>
      <c r="AT273" s="13">
        <f t="shared" si="33"/>
        <v>0.0158613575303276</v>
      </c>
      <c r="AU273" s="13">
        <v>3.969</v>
      </c>
      <c r="AV273" s="13">
        <f t="shared" si="34"/>
        <v>0.302343159486017</v>
      </c>
      <c r="AW273" s="13">
        <v>0.162823</v>
      </c>
      <c r="AX273" s="13">
        <v>0.031116</v>
      </c>
      <c r="AY273" s="13">
        <v>1.7904</v>
      </c>
      <c r="AZ273" s="13">
        <v>2.8671</v>
      </c>
      <c r="BA273" s="13">
        <v>0.0451118833896796</v>
      </c>
      <c r="BB273" s="13">
        <v>0.548233941967357</v>
      </c>
      <c r="BC273" s="13">
        <v>-0.078873</v>
      </c>
    </row>
    <row r="274" spans="1:55">
      <c r="A274" s="8" t="s">
        <v>870</v>
      </c>
      <c r="B274" s="8" t="s">
        <v>871</v>
      </c>
      <c r="C274" s="8" t="s">
        <v>89</v>
      </c>
      <c r="D274" s="9">
        <v>5230</v>
      </c>
      <c r="E274" s="8" t="s">
        <v>83</v>
      </c>
      <c r="F274" s="8" t="s">
        <v>67</v>
      </c>
      <c r="G274" s="10">
        <v>24478248371.13</v>
      </c>
      <c r="H274" s="10">
        <v>5</v>
      </c>
      <c r="I274" s="9">
        <v>673268263</v>
      </c>
      <c r="J274" s="9">
        <v>1246800037</v>
      </c>
      <c r="K274" s="11">
        <v>100</v>
      </c>
      <c r="L274" s="12">
        <v>41823</v>
      </c>
      <c r="M274" s="12">
        <v>35787</v>
      </c>
      <c r="N274" s="9">
        <f t="shared" si="28"/>
        <v>6036</v>
      </c>
      <c r="O274" s="13">
        <v>46.0003</v>
      </c>
      <c r="P274" s="13"/>
      <c r="Q274" s="13"/>
      <c r="R274" s="8"/>
      <c r="S274" s="13">
        <v>66323</v>
      </c>
      <c r="T274" s="13">
        <v>1.2</v>
      </c>
      <c r="U274" s="13">
        <v>47.7831</v>
      </c>
      <c r="V274" s="13">
        <f t="shared" si="29"/>
        <v>0.0251134815447303</v>
      </c>
      <c r="W274" s="13">
        <v>2.7365</v>
      </c>
      <c r="X274" s="13">
        <f t="shared" si="30"/>
        <v>0.438516353005664</v>
      </c>
      <c r="Y274" s="13">
        <v>0.23743</v>
      </c>
      <c r="Z274" s="13">
        <v>0.295515</v>
      </c>
      <c r="AA274" s="13">
        <v>0.5036</v>
      </c>
      <c r="AB274" s="13">
        <v>1.5954</v>
      </c>
      <c r="AC274" s="13">
        <v>0.2483</v>
      </c>
      <c r="AD274" s="13">
        <v>0.9855</v>
      </c>
      <c r="AE274" s="13">
        <v>0.143096</v>
      </c>
      <c r="AF274" s="13">
        <v>0.73</v>
      </c>
      <c r="AG274" s="13">
        <v>46.0413931332241</v>
      </c>
      <c r="AH274" s="13">
        <f t="shared" si="31"/>
        <v>0.0158552978161997</v>
      </c>
      <c r="AI274" s="13">
        <v>2.0074</v>
      </c>
      <c r="AJ274" s="13">
        <f t="shared" si="32"/>
        <v>0.36365447842981</v>
      </c>
      <c r="AK274" s="13">
        <v>0.245832</v>
      </c>
      <c r="AL274" s="13">
        <v>0.317289</v>
      </c>
      <c r="AM274" s="13">
        <v>0.4837</v>
      </c>
      <c r="AN274" s="13">
        <v>1.6019</v>
      </c>
      <c r="AO274" s="13">
        <v>0.352400655897999</v>
      </c>
      <c r="AP274" s="13">
        <v>1.1003678232902</v>
      </c>
      <c r="AQ274" s="13">
        <v>0.230878</v>
      </c>
      <c r="AR274" s="13">
        <v>1</v>
      </c>
      <c r="AS274" s="13">
        <v>58.0756037868504</v>
      </c>
      <c r="AT274" s="13">
        <f t="shared" si="33"/>
        <v>0.0172189341960216</v>
      </c>
      <c r="AU274" s="13">
        <v>2.5153</v>
      </c>
      <c r="AV274" s="13">
        <f t="shared" si="34"/>
        <v>0.397566890629348</v>
      </c>
      <c r="AW274" s="13">
        <v>0.257564</v>
      </c>
      <c r="AX274" s="13">
        <v>0.310488</v>
      </c>
      <c r="AY274" s="13">
        <v>0.5074</v>
      </c>
      <c r="AZ274" s="13">
        <v>1.635</v>
      </c>
      <c r="BA274" s="13">
        <v>0.277248859826178</v>
      </c>
      <c r="BB274" s="13">
        <v>0.952299749068484</v>
      </c>
      <c r="BC274" s="13">
        <v>0.280469</v>
      </c>
    </row>
    <row r="275" spans="1:55">
      <c r="A275" s="8" t="s">
        <v>872</v>
      </c>
      <c r="B275" s="8" t="s">
        <v>873</v>
      </c>
      <c r="C275" s="8" t="s">
        <v>82</v>
      </c>
      <c r="D275" s="9">
        <v>3790</v>
      </c>
      <c r="E275" s="8" t="s">
        <v>132</v>
      </c>
      <c r="F275" s="8" t="s">
        <v>67</v>
      </c>
      <c r="G275" s="10">
        <v>14370757786.98</v>
      </c>
      <c r="H275" s="10">
        <v>1</v>
      </c>
      <c r="I275" s="9">
        <v>334633805</v>
      </c>
      <c r="J275" s="9">
        <v>1264392804</v>
      </c>
      <c r="K275" s="11">
        <v>100</v>
      </c>
      <c r="L275" s="12">
        <v>43950</v>
      </c>
      <c r="M275" s="12">
        <v>33352</v>
      </c>
      <c r="N275" s="9">
        <f t="shared" si="28"/>
        <v>10598</v>
      </c>
      <c r="O275" s="13">
        <v>55.79</v>
      </c>
      <c r="P275" s="13">
        <v>17.7</v>
      </c>
      <c r="Q275" s="13">
        <v>3.54</v>
      </c>
      <c r="R275" s="8" t="s">
        <v>874</v>
      </c>
      <c r="S275" s="13">
        <v>41996</v>
      </c>
      <c r="T275" s="13"/>
      <c r="U275" s="13">
        <v>70.4851</v>
      </c>
      <c r="V275" s="13">
        <f t="shared" si="29"/>
        <v>0</v>
      </c>
      <c r="W275" s="13">
        <v>0.08</v>
      </c>
      <c r="X275" s="13">
        <f t="shared" si="30"/>
        <v>0</v>
      </c>
      <c r="Y275" s="13">
        <v>0.008511</v>
      </c>
      <c r="Z275" s="13">
        <v>0.048586</v>
      </c>
      <c r="AA275" s="13">
        <v>0.1477</v>
      </c>
      <c r="AB275" s="13">
        <v>1.218</v>
      </c>
      <c r="AC275" s="13">
        <v>0.1581</v>
      </c>
      <c r="AD275" s="13">
        <v>2.4363</v>
      </c>
      <c r="AE275" s="13">
        <v>-0.592544</v>
      </c>
      <c r="AF275" s="13">
        <v>1</v>
      </c>
      <c r="AG275" s="13">
        <v>156.245809160413</v>
      </c>
      <c r="AH275" s="13">
        <f t="shared" si="31"/>
        <v>0.00640017166139368</v>
      </c>
      <c r="AI275" s="13">
        <v>5.31</v>
      </c>
      <c r="AJ275" s="13">
        <f t="shared" si="32"/>
        <v>0.188323917137476</v>
      </c>
      <c r="AK275" s="13">
        <v>0.563532</v>
      </c>
      <c r="AL275" s="13">
        <v>0.434798</v>
      </c>
      <c r="AM275" s="13">
        <v>0.9611</v>
      </c>
      <c r="AN275" s="13">
        <v>1.3848</v>
      </c>
      <c r="AO275" s="13">
        <v>0.369470080291299</v>
      </c>
      <c r="AP275" s="13">
        <v>2.06844150040595</v>
      </c>
      <c r="AQ275" s="13">
        <v>0.945139</v>
      </c>
      <c r="AR275" s="13">
        <v>0.32</v>
      </c>
      <c r="AS275" s="13">
        <v>68.6893917902515</v>
      </c>
      <c r="AT275" s="13">
        <f t="shared" si="33"/>
        <v>0.00465865240119093</v>
      </c>
      <c r="AU275" s="13">
        <v>0.99</v>
      </c>
      <c r="AV275" s="13">
        <f t="shared" si="34"/>
        <v>0.323232323232323</v>
      </c>
      <c r="AW275" s="13">
        <v>0.099648</v>
      </c>
      <c r="AX275" s="13">
        <v>0.226194</v>
      </c>
      <c r="AY275" s="13">
        <v>0.345</v>
      </c>
      <c r="AZ275" s="13">
        <v>1.2756</v>
      </c>
      <c r="BA275" s="13">
        <v>0.279057089186547</v>
      </c>
      <c r="BB275" s="13">
        <v>2.20162819677981</v>
      </c>
      <c r="BC275" s="13">
        <v>-0.507314</v>
      </c>
    </row>
    <row r="276" spans="1:55">
      <c r="A276" s="8" t="s">
        <v>875</v>
      </c>
      <c r="B276" s="8" t="s">
        <v>876</v>
      </c>
      <c r="C276" s="8" t="s">
        <v>82</v>
      </c>
      <c r="D276" s="9">
        <v>5376</v>
      </c>
      <c r="E276" s="8" t="s">
        <v>198</v>
      </c>
      <c r="F276" s="8" t="s">
        <v>67</v>
      </c>
      <c r="G276" s="10">
        <v>44208848002.33</v>
      </c>
      <c r="H276" s="10">
        <v>3</v>
      </c>
      <c r="I276" s="9">
        <v>761199087</v>
      </c>
      <c r="J276" s="9">
        <v>1209404099</v>
      </c>
      <c r="K276" s="11">
        <v>100</v>
      </c>
      <c r="L276" s="12">
        <v>42859</v>
      </c>
      <c r="M276" s="12">
        <v>39217</v>
      </c>
      <c r="N276" s="9">
        <f t="shared" si="28"/>
        <v>3642</v>
      </c>
      <c r="O276" s="13">
        <v>25.09</v>
      </c>
      <c r="P276" s="13">
        <v>11.7427</v>
      </c>
      <c r="Q276" s="13">
        <v>6.13</v>
      </c>
      <c r="R276" s="8" t="s">
        <v>877</v>
      </c>
      <c r="S276" s="13">
        <v>170514</v>
      </c>
      <c r="T276" s="13">
        <v>0.22</v>
      </c>
      <c r="U276" s="13">
        <v>101.1678</v>
      </c>
      <c r="V276" s="13">
        <f t="shared" si="29"/>
        <v>0.00217460496323929</v>
      </c>
      <c r="W276" s="13">
        <v>2.77</v>
      </c>
      <c r="X276" s="13">
        <f t="shared" si="30"/>
        <v>0.0794223826714801</v>
      </c>
      <c r="Y276" s="13">
        <v>0.14559</v>
      </c>
      <c r="Z276" s="13">
        <v>0.127642</v>
      </c>
      <c r="AA276" s="13">
        <v>0.6709</v>
      </c>
      <c r="AB276" s="13">
        <v>1.6803</v>
      </c>
      <c r="AC276" s="13">
        <v>0.1855</v>
      </c>
      <c r="AD276" s="13">
        <v>1.3442</v>
      </c>
      <c r="AE276" s="13">
        <v>0.224065</v>
      </c>
      <c r="AF276" s="13">
        <v>0.084</v>
      </c>
      <c r="AG276" s="13">
        <v>135.44759636139</v>
      </c>
      <c r="AH276" s="13">
        <f t="shared" si="31"/>
        <v>0.000620166043964916</v>
      </c>
      <c r="AI276" s="13">
        <v>0.84</v>
      </c>
      <c r="AJ276" s="13">
        <f t="shared" si="32"/>
        <v>0.1</v>
      </c>
      <c r="AK276" s="13">
        <v>0.05787</v>
      </c>
      <c r="AL276" s="13">
        <v>0.04773</v>
      </c>
      <c r="AM276" s="13">
        <v>0.5969</v>
      </c>
      <c r="AN276" s="13">
        <v>1.966</v>
      </c>
      <c r="AO276" s="13">
        <v>-0.0992768190374674</v>
      </c>
      <c r="AP276" s="13">
        <v>0.391736161694617</v>
      </c>
      <c r="AQ276" s="13">
        <v>-0.167002</v>
      </c>
      <c r="AR276" s="13">
        <v>0.14</v>
      </c>
      <c r="AS276" s="13">
        <v>97.8493165700776</v>
      </c>
      <c r="AT276" s="13">
        <f t="shared" si="33"/>
        <v>0.00143077136261585</v>
      </c>
      <c r="AU276" s="13">
        <v>0.47</v>
      </c>
      <c r="AV276" s="13">
        <f t="shared" si="34"/>
        <v>0.297872340425532</v>
      </c>
      <c r="AW276" s="13">
        <v>0.028155</v>
      </c>
      <c r="AX276" s="13">
        <v>0.025871</v>
      </c>
      <c r="AY276" s="13">
        <v>0.5764</v>
      </c>
      <c r="AZ276" s="13">
        <v>1.8479</v>
      </c>
      <c r="BA276" s="13">
        <v>0.358537472710816</v>
      </c>
      <c r="BB276" s="13">
        <v>1.01934174968051</v>
      </c>
      <c r="BC276" s="13">
        <v>0.04694</v>
      </c>
    </row>
    <row r="277" spans="1:55">
      <c r="A277" s="8" t="s">
        <v>878</v>
      </c>
      <c r="B277" s="8" t="s">
        <v>879</v>
      </c>
      <c r="C277" s="8" t="s">
        <v>82</v>
      </c>
      <c r="D277" s="9">
        <v>25372</v>
      </c>
      <c r="E277" s="8" t="s">
        <v>165</v>
      </c>
      <c r="F277" s="8" t="s">
        <v>67</v>
      </c>
      <c r="G277" s="10">
        <v>148854711443.88</v>
      </c>
      <c r="H277" s="10">
        <v>0</v>
      </c>
      <c r="I277" s="9">
        <v>1492909070</v>
      </c>
      <c r="J277" s="9">
        <v>1896097297</v>
      </c>
      <c r="K277" s="11">
        <v>99.3662</v>
      </c>
      <c r="L277" s="12">
        <v>42033</v>
      </c>
      <c r="M277" s="12">
        <v>37398</v>
      </c>
      <c r="N277" s="9">
        <f t="shared" si="28"/>
        <v>4635</v>
      </c>
      <c r="O277" s="13">
        <v>16.2517</v>
      </c>
      <c r="P277" s="13">
        <v>7.78</v>
      </c>
      <c r="Q277" s="13"/>
      <c r="R277" s="8"/>
      <c r="S277" s="13">
        <v>257101</v>
      </c>
      <c r="T277" s="13">
        <v>0.5</v>
      </c>
      <c r="U277" s="13">
        <v>28.6898</v>
      </c>
      <c r="V277" s="13">
        <f t="shared" si="29"/>
        <v>0.0174277966385266</v>
      </c>
      <c r="W277" s="13">
        <v>2.5</v>
      </c>
      <c r="X277" s="13">
        <f t="shared" si="30"/>
        <v>0.2</v>
      </c>
      <c r="Y277" s="13">
        <v>0.11667</v>
      </c>
      <c r="Z277" s="13">
        <v>0.08464</v>
      </c>
      <c r="AA277" s="13">
        <v>0.465</v>
      </c>
      <c r="AB277" s="13">
        <v>3.6801</v>
      </c>
      <c r="AC277" s="13">
        <v>0.204</v>
      </c>
      <c r="AD277" s="13">
        <v>0.3789</v>
      </c>
      <c r="AE277" s="13">
        <v>-0.080817</v>
      </c>
      <c r="AF277" s="13">
        <v>0.2</v>
      </c>
      <c r="AG277" s="13">
        <v>84.27457705405</v>
      </c>
      <c r="AH277" s="13">
        <f t="shared" si="31"/>
        <v>0.00237319494195419</v>
      </c>
      <c r="AI277" s="13">
        <v>2.48</v>
      </c>
      <c r="AJ277" s="13">
        <f t="shared" si="32"/>
        <v>0.0806451612903226</v>
      </c>
      <c r="AK277" s="13">
        <v>0.17271</v>
      </c>
      <c r="AL277" s="13">
        <v>0.090536</v>
      </c>
      <c r="AM277" s="13">
        <v>0.7478</v>
      </c>
      <c r="AN277" s="13">
        <v>3.7234</v>
      </c>
      <c r="AO277" s="13">
        <v>0.0462261048149103</v>
      </c>
      <c r="AP277" s="13">
        <v>0.293501831457741</v>
      </c>
      <c r="AQ277" s="13">
        <v>0.784823</v>
      </c>
      <c r="AR277" s="13">
        <v>1</v>
      </c>
      <c r="AS277" s="13">
        <v>46.8901229810059</v>
      </c>
      <c r="AT277" s="13">
        <f t="shared" si="33"/>
        <v>0.0213264529164293</v>
      </c>
      <c r="AU277" s="13">
        <v>2.05</v>
      </c>
      <c r="AV277" s="13">
        <f t="shared" si="34"/>
        <v>0.487804878048781</v>
      </c>
      <c r="AW277" s="13">
        <v>0.111379</v>
      </c>
      <c r="AX277" s="13">
        <v>0.067947</v>
      </c>
      <c r="AY277" s="13">
        <v>0.5616</v>
      </c>
      <c r="AZ277" s="13">
        <v>3.924</v>
      </c>
      <c r="BA277" s="13">
        <v>0.0525742880442217</v>
      </c>
      <c r="BB277" s="13">
        <v>0.319912346529127</v>
      </c>
      <c r="BC277" s="13">
        <v>0.051881</v>
      </c>
    </row>
    <row r="278" spans="1:55">
      <c r="A278" s="8" t="s">
        <v>880</v>
      </c>
      <c r="B278" s="8" t="s">
        <v>881</v>
      </c>
      <c r="C278" s="8" t="s">
        <v>82</v>
      </c>
      <c r="D278" s="9">
        <v>983</v>
      </c>
      <c r="E278" s="8" t="s">
        <v>370</v>
      </c>
      <c r="F278" s="8" t="s">
        <v>67</v>
      </c>
      <c r="G278" s="10">
        <v>5111933259.18</v>
      </c>
      <c r="H278" s="10">
        <v>8</v>
      </c>
      <c r="I278" s="9">
        <v>200701758</v>
      </c>
      <c r="J278" s="9">
        <v>420929650</v>
      </c>
      <c r="K278" s="11">
        <v>99.972</v>
      </c>
      <c r="L278" s="12">
        <v>43868</v>
      </c>
      <c r="M278" s="12">
        <v>37220</v>
      </c>
      <c r="N278" s="9">
        <f t="shared" si="28"/>
        <v>6648</v>
      </c>
      <c r="O278" s="13">
        <v>37.46</v>
      </c>
      <c r="P278" s="13">
        <v>14.83</v>
      </c>
      <c r="Q278" s="13">
        <v>4.73</v>
      </c>
      <c r="R278" s="8" t="s">
        <v>882</v>
      </c>
      <c r="S278" s="13">
        <v>87460</v>
      </c>
      <c r="T278" s="13">
        <v>0.65</v>
      </c>
      <c r="U278" s="13">
        <v>74.2164</v>
      </c>
      <c r="V278" s="13">
        <f t="shared" si="29"/>
        <v>0.00875817204822654</v>
      </c>
      <c r="W278" s="13">
        <v>1.42</v>
      </c>
      <c r="X278" s="13">
        <f t="shared" si="30"/>
        <v>0.457746478873239</v>
      </c>
      <c r="Y278" s="13">
        <v>0.180081</v>
      </c>
      <c r="Z278" s="13">
        <v>0.189666</v>
      </c>
      <c r="AA278" s="13">
        <v>0.807</v>
      </c>
      <c r="AB278" s="13">
        <v>1.1766</v>
      </c>
      <c r="AC278" s="13">
        <v>0.4398</v>
      </c>
      <c r="AD278" s="13">
        <v>3.7107</v>
      </c>
      <c r="AE278" s="13">
        <v>0.469355</v>
      </c>
      <c r="AF278" s="13">
        <v>0.25</v>
      </c>
      <c r="AG278" s="13">
        <v>88.7176044097358</v>
      </c>
      <c r="AH278" s="13">
        <f t="shared" si="31"/>
        <v>0.00281793001133567</v>
      </c>
      <c r="AI278" s="13">
        <v>0.72</v>
      </c>
      <c r="AJ278" s="13">
        <f t="shared" si="32"/>
        <v>0.347222222222222</v>
      </c>
      <c r="AK278" s="13">
        <v>0.103078</v>
      </c>
      <c r="AL278" s="13">
        <v>0.146539</v>
      </c>
      <c r="AM278" s="13">
        <v>0.6015</v>
      </c>
      <c r="AN278" s="13">
        <v>1.1695</v>
      </c>
      <c r="AO278" s="13">
        <v>-0.306692036443024</v>
      </c>
      <c r="AP278" s="13">
        <v>1.96978487871952</v>
      </c>
      <c r="AQ278" s="13">
        <v>-0.253412</v>
      </c>
      <c r="AR278" s="13">
        <v>0.2</v>
      </c>
      <c r="AS278" s="13">
        <v>78.2646301938097</v>
      </c>
      <c r="AT278" s="13">
        <f t="shared" si="33"/>
        <v>0.00255543276068299</v>
      </c>
      <c r="AU278" s="13">
        <v>0.32</v>
      </c>
      <c r="AV278" s="13">
        <f t="shared" si="34"/>
        <v>0.625</v>
      </c>
      <c r="AW278" s="13">
        <v>0.045104</v>
      </c>
      <c r="AX278" s="13">
        <v>0.063192</v>
      </c>
      <c r="AY278" s="13">
        <v>0.6207</v>
      </c>
      <c r="AZ278" s="13">
        <v>1.1499</v>
      </c>
      <c r="BA278" s="13">
        <v>0.31916184648955</v>
      </c>
      <c r="BB278" s="13">
        <v>2.94965469526162</v>
      </c>
      <c r="BC278" s="13">
        <v>0.051657</v>
      </c>
    </row>
    <row r="279" spans="1:55">
      <c r="A279" s="8" t="s">
        <v>883</v>
      </c>
      <c r="B279" s="8" t="s">
        <v>884</v>
      </c>
      <c r="C279" s="8" t="s">
        <v>82</v>
      </c>
      <c r="D279" s="9">
        <v>2087</v>
      </c>
      <c r="E279" s="8" t="s">
        <v>132</v>
      </c>
      <c r="F279" s="8" t="s">
        <v>222</v>
      </c>
      <c r="G279" s="10">
        <v>20756260682.52</v>
      </c>
      <c r="H279" s="10">
        <v>3</v>
      </c>
      <c r="I279" s="9">
        <v>608998623</v>
      </c>
      <c r="J279" s="9">
        <v>667849351</v>
      </c>
      <c r="K279" s="11">
        <v>99.9941</v>
      </c>
      <c r="L279" s="12">
        <v>42600</v>
      </c>
      <c r="M279" s="12">
        <v>38448</v>
      </c>
      <c r="N279" s="9">
        <f t="shared" si="28"/>
        <v>4152</v>
      </c>
      <c r="O279" s="13">
        <v>6.86</v>
      </c>
      <c r="P279" s="13">
        <v>4.54</v>
      </c>
      <c r="Q279" s="13">
        <v>2.55</v>
      </c>
      <c r="R279" s="8" t="s">
        <v>885</v>
      </c>
      <c r="S279" s="13">
        <v>157465</v>
      </c>
      <c r="T279" s="13">
        <v>0.34</v>
      </c>
      <c r="U279" s="13">
        <v>85.1774</v>
      </c>
      <c r="V279" s="13">
        <f t="shared" si="29"/>
        <v>0.00399166915167638</v>
      </c>
      <c r="W279" s="13">
        <v>1.66</v>
      </c>
      <c r="X279" s="13">
        <f t="shared" si="30"/>
        <v>0.204819277108434</v>
      </c>
      <c r="Y279" s="13">
        <v>0.069565</v>
      </c>
      <c r="Z279" s="13">
        <v>0.149658</v>
      </c>
      <c r="AA279" s="13">
        <v>0.4123</v>
      </c>
      <c r="AB279" s="13">
        <v>1.1258</v>
      </c>
      <c r="AC279" s="13">
        <v>0.2763</v>
      </c>
      <c r="AD279" s="13">
        <v>3.9767</v>
      </c>
      <c r="AE279" s="13">
        <v>0.276897</v>
      </c>
      <c r="AF279" s="13">
        <v>0.62</v>
      </c>
      <c r="AG279" s="13">
        <v>122.868915445338</v>
      </c>
      <c r="AH279" s="13">
        <f t="shared" si="31"/>
        <v>0.00504602810037683</v>
      </c>
      <c r="AI279" s="13">
        <v>3.1</v>
      </c>
      <c r="AJ279" s="13">
        <f t="shared" si="32"/>
        <v>0.2</v>
      </c>
      <c r="AK279" s="13">
        <v>0.143193</v>
      </c>
      <c r="AL279" s="13">
        <v>0.252469</v>
      </c>
      <c r="AM279" s="13">
        <v>0.5071</v>
      </c>
      <c r="AN279" s="13">
        <v>1.1184</v>
      </c>
      <c r="AO279" s="13">
        <v>0.11681328664844</v>
      </c>
      <c r="AP279" s="13">
        <v>7.32385952296838</v>
      </c>
      <c r="AQ279" s="13">
        <v>-0.044679</v>
      </c>
      <c r="AR279" s="13"/>
      <c r="AS279" s="13">
        <v>110.209832515589</v>
      </c>
      <c r="AT279" s="13">
        <f t="shared" si="33"/>
        <v>0</v>
      </c>
      <c r="AU279" s="13">
        <v>0.24</v>
      </c>
      <c r="AV279" s="13">
        <f t="shared" si="34"/>
        <v>0</v>
      </c>
      <c r="AW279" s="13">
        <v>0.010607</v>
      </c>
      <c r="AX279" s="13">
        <v>0.027972</v>
      </c>
      <c r="AY279" s="13">
        <v>0.3481</v>
      </c>
      <c r="AZ279" s="13">
        <v>1.0894</v>
      </c>
      <c r="BA279" s="13">
        <v>0.206003417308722</v>
      </c>
      <c r="BB279" s="13">
        <v>9.2119056621924</v>
      </c>
      <c r="BC279" s="13">
        <v>-0.291411</v>
      </c>
    </row>
    <row r="280" spans="1:55">
      <c r="A280" s="8" t="s">
        <v>886</v>
      </c>
      <c r="B280" s="8" t="s">
        <v>887</v>
      </c>
      <c r="C280" s="8" t="s">
        <v>82</v>
      </c>
      <c r="D280" s="9">
        <v>12317</v>
      </c>
      <c r="E280" s="8" t="s">
        <v>158</v>
      </c>
      <c r="F280" s="8" t="s">
        <v>171</v>
      </c>
      <c r="G280" s="10">
        <v>184190759910.89</v>
      </c>
      <c r="H280" s="10">
        <v>0</v>
      </c>
      <c r="I280" s="9">
        <v>7100841776</v>
      </c>
      <c r="J280" s="9">
        <v>21394310176</v>
      </c>
      <c r="K280" s="11">
        <v>81.6144</v>
      </c>
      <c r="L280" s="12">
        <v>41191</v>
      </c>
      <c r="M280" s="12">
        <v>36516</v>
      </c>
      <c r="N280" s="9">
        <f t="shared" si="28"/>
        <v>4675</v>
      </c>
      <c r="O280" s="13">
        <v>24.93</v>
      </c>
      <c r="P280" s="13">
        <v>24.91</v>
      </c>
      <c r="Q280" s="13">
        <v>16.83</v>
      </c>
      <c r="R280" s="8" t="s">
        <v>888</v>
      </c>
      <c r="S280" s="13">
        <v>304226</v>
      </c>
      <c r="T280" s="13">
        <v>0.255</v>
      </c>
      <c r="U280" s="13">
        <v>7.7596</v>
      </c>
      <c r="V280" s="13">
        <f t="shared" si="29"/>
        <v>0.0328625186865302</v>
      </c>
      <c r="W280" s="13">
        <v>0.63</v>
      </c>
      <c r="X280" s="13">
        <f t="shared" si="30"/>
        <v>0.404761904761905</v>
      </c>
      <c r="Y280" s="13">
        <v>0.207287</v>
      </c>
      <c r="Z280" s="13">
        <v>0.07257</v>
      </c>
      <c r="AA280" s="13">
        <v>1.2414</v>
      </c>
      <c r="AB280" s="13">
        <v>2.6287</v>
      </c>
      <c r="AC280" s="13">
        <v>0.152</v>
      </c>
      <c r="AD280" s="13">
        <v>0.8125</v>
      </c>
      <c r="AE280" s="13">
        <v>0.143662</v>
      </c>
      <c r="AF280" s="13">
        <v>0.08508</v>
      </c>
      <c r="AG280" s="13">
        <v>5.27229332862812</v>
      </c>
      <c r="AH280" s="13">
        <f t="shared" si="31"/>
        <v>0.0161371901555671</v>
      </c>
      <c r="AI280" s="13">
        <v>0.28</v>
      </c>
      <c r="AJ280" s="13">
        <f t="shared" si="32"/>
        <v>0.303857142857143</v>
      </c>
      <c r="AK280" s="13">
        <v>0.132547</v>
      </c>
      <c r="AL280" s="13">
        <v>0.041573</v>
      </c>
      <c r="AM280" s="13">
        <v>1.1439</v>
      </c>
      <c r="AN280" s="13">
        <v>3.3041</v>
      </c>
      <c r="AO280" s="13">
        <v>0.0893328197854138</v>
      </c>
      <c r="AP280" s="13">
        <v>0.736786564073161</v>
      </c>
      <c r="AQ280" s="13">
        <v>-0.005014</v>
      </c>
      <c r="AR280" s="13">
        <v>0.15425</v>
      </c>
      <c r="AS280" s="13">
        <v>5.68886928341329</v>
      </c>
      <c r="AT280" s="13">
        <f t="shared" si="33"/>
        <v>0.0271143512560111</v>
      </c>
      <c r="AU280" s="13">
        <v>0.38</v>
      </c>
      <c r="AV280" s="13">
        <f t="shared" si="34"/>
        <v>0.405921052631579</v>
      </c>
      <c r="AW280" s="13">
        <v>0.148324</v>
      </c>
      <c r="AX280" s="13">
        <v>0.045797</v>
      </c>
      <c r="AY280" s="13">
        <v>1.1022</v>
      </c>
      <c r="AZ280" s="13">
        <v>3.0385</v>
      </c>
      <c r="BA280" s="13">
        <v>0.0834384993673022</v>
      </c>
      <c r="BB280" s="13">
        <v>0.796253545855641</v>
      </c>
      <c r="BC280" s="13">
        <v>0.076756</v>
      </c>
    </row>
    <row r="281" spans="1:55">
      <c r="A281" s="8" t="s">
        <v>889</v>
      </c>
      <c r="B281" s="8" t="s">
        <v>890</v>
      </c>
      <c r="C281" s="8" t="s">
        <v>82</v>
      </c>
      <c r="D281" s="9">
        <v>5615</v>
      </c>
      <c r="E281" s="8" t="s">
        <v>165</v>
      </c>
      <c r="F281" s="8" t="s">
        <v>67</v>
      </c>
      <c r="G281" s="10">
        <v>21457212466.68</v>
      </c>
      <c r="H281" s="10">
        <v>0</v>
      </c>
      <c r="I281" s="9">
        <v>358114202</v>
      </c>
      <c r="J281" s="9">
        <v>907766493</v>
      </c>
      <c r="K281" s="11">
        <v>100</v>
      </c>
      <c r="L281" s="12">
        <v>44306</v>
      </c>
      <c r="M281" s="12">
        <v>36742</v>
      </c>
      <c r="N281" s="9">
        <f t="shared" si="28"/>
        <v>7564</v>
      </c>
      <c r="O281" s="13">
        <v>35.26</v>
      </c>
      <c r="P281" s="13">
        <v>22.31</v>
      </c>
      <c r="Q281" s="13">
        <v>3.68</v>
      </c>
      <c r="R281" s="8" t="s">
        <v>891</v>
      </c>
      <c r="S281" s="13">
        <v>73354</v>
      </c>
      <c r="T281" s="13">
        <v>2.6</v>
      </c>
      <c r="U281" s="13">
        <v>86.5539</v>
      </c>
      <c r="V281" s="13">
        <f t="shared" si="29"/>
        <v>0.0300390854715963</v>
      </c>
      <c r="W281" s="13">
        <v>4.76</v>
      </c>
      <c r="X281" s="13">
        <f t="shared" si="30"/>
        <v>0.546218487394958</v>
      </c>
      <c r="Y281" s="13">
        <v>0.403164</v>
      </c>
      <c r="Z281" s="13">
        <v>0.264164</v>
      </c>
      <c r="AA281" s="13">
        <v>0.8643</v>
      </c>
      <c r="AB281" s="13">
        <v>1.7658</v>
      </c>
      <c r="AC281" s="13">
        <v>0.3004</v>
      </c>
      <c r="AD281" s="13">
        <v>1.2083</v>
      </c>
      <c r="AE281" s="13">
        <v>0.49825</v>
      </c>
      <c r="AF281" s="13">
        <v>2.26</v>
      </c>
      <c r="AG281" s="13">
        <v>306.306020767838</v>
      </c>
      <c r="AH281" s="13">
        <f t="shared" si="31"/>
        <v>0.00737824217210849</v>
      </c>
      <c r="AI281" s="13">
        <v>6.35</v>
      </c>
      <c r="AJ281" s="13">
        <f t="shared" si="32"/>
        <v>0.355905511811024</v>
      </c>
      <c r="AK281" s="13">
        <v>0.452773</v>
      </c>
      <c r="AL281" s="13">
        <v>0.255808</v>
      </c>
      <c r="AM281" s="13">
        <v>0.9582</v>
      </c>
      <c r="AN281" s="13">
        <v>1.8546</v>
      </c>
      <c r="AO281" s="13">
        <v>0.370015736687173</v>
      </c>
      <c r="AP281" s="13">
        <v>0.88861254911648</v>
      </c>
      <c r="AQ281" s="13">
        <v>0.428892</v>
      </c>
      <c r="AR281" s="13">
        <v>2.1</v>
      </c>
      <c r="AS281" s="13">
        <v>128.654419284933</v>
      </c>
      <c r="AT281" s="13">
        <f t="shared" si="33"/>
        <v>0.0163227972398608</v>
      </c>
      <c r="AU281" s="13">
        <v>4.17</v>
      </c>
      <c r="AV281" s="13">
        <f t="shared" si="34"/>
        <v>0.503597122302158</v>
      </c>
      <c r="AW281" s="13">
        <v>0.385409</v>
      </c>
      <c r="AX281" s="13">
        <v>0.239446</v>
      </c>
      <c r="AY281" s="13">
        <v>0.7741</v>
      </c>
      <c r="AZ281" s="13">
        <v>2.0793</v>
      </c>
      <c r="BA281" s="13">
        <v>0.278215519016633</v>
      </c>
      <c r="BB281" s="13">
        <v>0.936689755391603</v>
      </c>
      <c r="BC281" s="13">
        <v>0.255928</v>
      </c>
    </row>
    <row r="282" spans="1:55">
      <c r="A282" s="8" t="s">
        <v>892</v>
      </c>
      <c r="B282" s="8" t="s">
        <v>893</v>
      </c>
      <c r="C282" s="8" t="s">
        <v>82</v>
      </c>
      <c r="D282" s="9">
        <v>10985</v>
      </c>
      <c r="E282" s="8" t="s">
        <v>58</v>
      </c>
      <c r="F282" s="8" t="s">
        <v>67</v>
      </c>
      <c r="G282" s="10">
        <v>23943346755.83</v>
      </c>
      <c r="H282" s="10">
        <v>1</v>
      </c>
      <c r="I282" s="9">
        <v>175162910</v>
      </c>
      <c r="J282" s="9">
        <v>520013000</v>
      </c>
      <c r="K282" s="11">
        <v>100</v>
      </c>
      <c r="L282" s="12">
        <v>44343</v>
      </c>
      <c r="M282" s="12">
        <v>34515</v>
      </c>
      <c r="N282" s="9">
        <f t="shared" si="28"/>
        <v>9828</v>
      </c>
      <c r="O282" s="13">
        <v>49.74</v>
      </c>
      <c r="P282" s="13">
        <v>10</v>
      </c>
      <c r="Q282" s="13">
        <v>5.22</v>
      </c>
      <c r="R282" s="8" t="s">
        <v>894</v>
      </c>
      <c r="S282" s="13">
        <v>15984</v>
      </c>
      <c r="T282" s="13">
        <v>2.5</v>
      </c>
      <c r="U282" s="13">
        <v>218.833</v>
      </c>
      <c r="V282" s="13">
        <f t="shared" si="29"/>
        <v>0.0114242367467429</v>
      </c>
      <c r="W282" s="13">
        <v>6.3974</v>
      </c>
      <c r="X282" s="13">
        <f t="shared" si="30"/>
        <v>0.390783755900835</v>
      </c>
      <c r="Y282" s="13">
        <v>0.474852</v>
      </c>
      <c r="Z282" s="13">
        <v>0.210017</v>
      </c>
      <c r="AA282" s="13">
        <v>0.8473</v>
      </c>
      <c r="AB282" s="13">
        <v>2.6682</v>
      </c>
      <c r="AC282" s="13">
        <v>0.3655</v>
      </c>
      <c r="AD282" s="13">
        <v>0.7107</v>
      </c>
      <c r="AE282" s="13">
        <v>0.406299</v>
      </c>
      <c r="AF282" s="13">
        <v>2</v>
      </c>
      <c r="AG282" s="13">
        <v>153.933851667984</v>
      </c>
      <c r="AH282" s="13">
        <f t="shared" si="31"/>
        <v>0.01299259375588</v>
      </c>
      <c r="AI282" s="13">
        <v>3.6012</v>
      </c>
      <c r="AJ282" s="13">
        <f t="shared" si="32"/>
        <v>0.555370432078196</v>
      </c>
      <c r="AK282" s="13">
        <v>0.309709</v>
      </c>
      <c r="AL282" s="13">
        <v>0.169366</v>
      </c>
      <c r="AM282" s="13">
        <v>0.8652</v>
      </c>
      <c r="AN282" s="13">
        <v>2.1134</v>
      </c>
      <c r="AO282" s="13">
        <v>0.238214262359368</v>
      </c>
      <c r="AP282" s="13">
        <v>0.625544918015561</v>
      </c>
      <c r="AQ282" s="13">
        <v>0.218917</v>
      </c>
      <c r="AR282" s="13">
        <v>2.5</v>
      </c>
      <c r="AS282" s="13">
        <v>183.926880899148</v>
      </c>
      <c r="AT282" s="13">
        <f t="shared" si="33"/>
        <v>0.0135923579401687</v>
      </c>
      <c r="AU282" s="13">
        <v>5.0993</v>
      </c>
      <c r="AV282" s="13">
        <f t="shared" si="34"/>
        <v>0.490263369482086</v>
      </c>
      <c r="AW282" s="13">
        <v>0.35823</v>
      </c>
      <c r="AX282" s="13">
        <v>0.181107</v>
      </c>
      <c r="AY282" s="13">
        <v>0.8475</v>
      </c>
      <c r="AZ282" s="13">
        <v>2.334</v>
      </c>
      <c r="BA282" s="13">
        <v>0.291337089924981</v>
      </c>
      <c r="BB282" s="13">
        <v>0.906665493761392</v>
      </c>
      <c r="BC282" s="13">
        <v>0.324195</v>
      </c>
    </row>
    <row r="283" spans="1:55">
      <c r="A283" s="8" t="s">
        <v>895</v>
      </c>
      <c r="B283" s="8" t="s">
        <v>896</v>
      </c>
      <c r="C283" s="8" t="s">
        <v>57</v>
      </c>
      <c r="D283" s="9">
        <v>718</v>
      </c>
      <c r="E283" s="8" t="s">
        <v>198</v>
      </c>
      <c r="F283" s="8" t="s">
        <v>67</v>
      </c>
      <c r="G283" s="10">
        <v>13751628992.45</v>
      </c>
      <c r="H283" s="10">
        <v>14</v>
      </c>
      <c r="I283" s="9">
        <v>1053781368</v>
      </c>
      <c r="J283" s="9">
        <v>1145151330</v>
      </c>
      <c r="K283" s="11">
        <v>100</v>
      </c>
      <c r="L283" s="12">
        <v>43668</v>
      </c>
      <c r="M283" s="12">
        <v>38134</v>
      </c>
      <c r="N283" s="9">
        <f t="shared" si="28"/>
        <v>5534</v>
      </c>
      <c r="O283" s="13">
        <v>12.66</v>
      </c>
      <c r="P283" s="13"/>
      <c r="Q283" s="13"/>
      <c r="R283" s="8"/>
      <c r="S283" s="13">
        <v>92901</v>
      </c>
      <c r="T283" s="13">
        <v>0.39</v>
      </c>
      <c r="U283" s="13">
        <v>61.4971</v>
      </c>
      <c r="V283" s="13">
        <f t="shared" si="29"/>
        <v>0.00634176245709147</v>
      </c>
      <c r="W283" s="13">
        <v>1.25</v>
      </c>
      <c r="X283" s="13">
        <f t="shared" si="30"/>
        <v>0.312</v>
      </c>
      <c r="Y283" s="13">
        <v>0.130751</v>
      </c>
      <c r="Z283" s="13">
        <v>0.368444</v>
      </c>
      <c r="AA283" s="13">
        <v>0.3176</v>
      </c>
      <c r="AB283" s="13">
        <v>1.0612</v>
      </c>
      <c r="AC283" s="13">
        <v>0.4648</v>
      </c>
      <c r="AD283" s="13">
        <v>12.6887</v>
      </c>
      <c r="AE283" s="13">
        <v>0.592007</v>
      </c>
      <c r="AF283" s="13">
        <v>0.3</v>
      </c>
      <c r="AG283" s="13">
        <v>62.446130755864</v>
      </c>
      <c r="AH283" s="13">
        <f t="shared" si="31"/>
        <v>0.00480414072687488</v>
      </c>
      <c r="AI283" s="13">
        <v>1.15</v>
      </c>
      <c r="AJ283" s="13">
        <f t="shared" si="32"/>
        <v>0.260869565217391</v>
      </c>
      <c r="AK283" s="13">
        <v>0.141986</v>
      </c>
      <c r="AL283" s="13">
        <v>0.353834</v>
      </c>
      <c r="AM283" s="13">
        <v>0.3739</v>
      </c>
      <c r="AN283" s="13">
        <v>1.0733</v>
      </c>
      <c r="AO283" s="13">
        <v>0.187578132144686</v>
      </c>
      <c r="AP283" s="13">
        <v>11.6987589389718</v>
      </c>
      <c r="AQ283" s="13">
        <v>0.433346</v>
      </c>
      <c r="AR283" s="13">
        <v>0.3</v>
      </c>
      <c r="AS283" s="13">
        <v>61.018339401253</v>
      </c>
      <c r="AT283" s="13">
        <f t="shared" si="33"/>
        <v>0.00491655464478012</v>
      </c>
      <c r="AU283" s="13">
        <v>0.4</v>
      </c>
      <c r="AV283" s="13">
        <f t="shared" si="34"/>
        <v>0.75</v>
      </c>
      <c r="AW283" s="13">
        <v>0.044859</v>
      </c>
      <c r="AX283" s="13">
        <v>0.197375</v>
      </c>
      <c r="AY283" s="13">
        <v>0.2138</v>
      </c>
      <c r="AZ283" s="13">
        <v>1.0637</v>
      </c>
      <c r="BA283" s="13">
        <v>0.319918354473294</v>
      </c>
      <c r="BB283" s="13">
        <v>19.0372041499184</v>
      </c>
      <c r="BC283" s="13">
        <v>-0.377566</v>
      </c>
    </row>
    <row r="284" spans="1:55">
      <c r="A284" s="8" t="s">
        <v>897</v>
      </c>
      <c r="B284" s="8" t="s">
        <v>898</v>
      </c>
      <c r="C284" s="8" t="s">
        <v>77</v>
      </c>
      <c r="D284" s="9">
        <v>19002</v>
      </c>
      <c r="E284" s="8" t="s">
        <v>132</v>
      </c>
      <c r="F284" s="8" t="s">
        <v>67</v>
      </c>
      <c r="G284" s="10">
        <v>115662301853.24</v>
      </c>
      <c r="H284" s="10">
        <v>1</v>
      </c>
      <c r="I284" s="9">
        <v>2006802000</v>
      </c>
      <c r="J284" s="9">
        <v>10589819000</v>
      </c>
      <c r="K284" s="11">
        <v>81.4085</v>
      </c>
      <c r="L284" s="12">
        <v>43668</v>
      </c>
      <c r="M284" s="12">
        <v>40541</v>
      </c>
      <c r="N284" s="9">
        <f t="shared" si="28"/>
        <v>3127</v>
      </c>
      <c r="O284" s="13">
        <v>62.46</v>
      </c>
      <c r="P284" s="13">
        <v>18.58</v>
      </c>
      <c r="Q284" s="13">
        <v>0.95</v>
      </c>
      <c r="R284" s="8" t="s">
        <v>899</v>
      </c>
      <c r="S284" s="13">
        <v>64371</v>
      </c>
      <c r="T284" s="13">
        <v>0.17</v>
      </c>
      <c r="U284" s="13">
        <v>5.7456</v>
      </c>
      <c r="V284" s="13">
        <f t="shared" si="29"/>
        <v>0.029587858535227</v>
      </c>
      <c r="W284" s="13">
        <v>0.32</v>
      </c>
      <c r="X284" s="13">
        <f t="shared" si="30"/>
        <v>0.53125</v>
      </c>
      <c r="Y284" s="13">
        <v>0.0737</v>
      </c>
      <c r="Z284" s="13">
        <v>0.124647</v>
      </c>
      <c r="AA284" s="13">
        <v>0.2756</v>
      </c>
      <c r="AB284" s="13">
        <v>2.4978</v>
      </c>
      <c r="AC284" s="13">
        <v>0.1612</v>
      </c>
      <c r="AD284" s="13">
        <v>0.3746</v>
      </c>
      <c r="AE284" s="13">
        <v>-0.119819</v>
      </c>
      <c r="AF284" s="13">
        <v>0.17</v>
      </c>
      <c r="AG284" s="13">
        <v>4.6016186453018</v>
      </c>
      <c r="AH284" s="13">
        <f t="shared" si="31"/>
        <v>0.0369435220742527</v>
      </c>
      <c r="AI284" s="13">
        <v>0.33</v>
      </c>
      <c r="AJ284" s="13">
        <f t="shared" si="32"/>
        <v>0.515151515151515</v>
      </c>
      <c r="AK284" s="13">
        <v>0.081766</v>
      </c>
      <c r="AL284" s="13">
        <v>0.101956</v>
      </c>
      <c r="AM284" s="13">
        <v>0.3563</v>
      </c>
      <c r="AN284" s="13">
        <v>2.54</v>
      </c>
      <c r="AO284" s="13">
        <v>0.0517698064540251</v>
      </c>
      <c r="AP284" s="13">
        <v>0.366782178325154</v>
      </c>
      <c r="AQ284" s="13">
        <v>0.048525</v>
      </c>
      <c r="AR284" s="13">
        <v>0.17</v>
      </c>
      <c r="AS284" s="13">
        <v>5.50763019671503</v>
      </c>
      <c r="AT284" s="13">
        <f t="shared" si="33"/>
        <v>0.0308662698707322</v>
      </c>
      <c r="AU284" s="13">
        <v>0.32</v>
      </c>
      <c r="AV284" s="13">
        <f t="shared" si="34"/>
        <v>0.53125</v>
      </c>
      <c r="AW284" s="13">
        <v>0.075483</v>
      </c>
      <c r="AX284" s="13">
        <v>0.108253</v>
      </c>
      <c r="AY284" s="13">
        <v>0.3146</v>
      </c>
      <c r="AZ284" s="13">
        <v>2.5592</v>
      </c>
      <c r="BA284" s="13">
        <v>0.0554914242363251</v>
      </c>
      <c r="BB284" s="13">
        <v>0.356752671368882</v>
      </c>
      <c r="BC284" s="13">
        <v>-0.077877</v>
      </c>
    </row>
    <row r="285" spans="1:55">
      <c r="A285" s="8" t="s">
        <v>900</v>
      </c>
      <c r="B285" s="8" t="s">
        <v>901</v>
      </c>
      <c r="C285" s="8" t="s">
        <v>57</v>
      </c>
      <c r="D285" s="9">
        <v>2480</v>
      </c>
      <c r="E285" s="8" t="s">
        <v>198</v>
      </c>
      <c r="F285" s="8" t="s">
        <v>67</v>
      </c>
      <c r="G285" s="10">
        <v>29786854954.28</v>
      </c>
      <c r="H285" s="10">
        <v>3</v>
      </c>
      <c r="I285" s="9">
        <v>440933509</v>
      </c>
      <c r="J285" s="9">
        <v>626145307</v>
      </c>
      <c r="K285" s="11">
        <v>100</v>
      </c>
      <c r="L285" s="12">
        <v>43668</v>
      </c>
      <c r="M285" s="12">
        <v>38138</v>
      </c>
      <c r="N285" s="9">
        <f t="shared" si="28"/>
        <v>5530</v>
      </c>
      <c r="O285" s="13">
        <v>14.93</v>
      </c>
      <c r="P285" s="13">
        <v>10.9358</v>
      </c>
      <c r="Q285" s="13">
        <v>8.93</v>
      </c>
      <c r="R285" s="8"/>
      <c r="S285" s="13">
        <v>60782</v>
      </c>
      <c r="T285" s="13">
        <v>0.3</v>
      </c>
      <c r="U285" s="13">
        <v>164.5367</v>
      </c>
      <c r="V285" s="13">
        <f t="shared" si="29"/>
        <v>0.00182330142758424</v>
      </c>
      <c r="W285" s="13">
        <v>2.61</v>
      </c>
      <c r="X285" s="13">
        <f t="shared" si="30"/>
        <v>0.114942528735632</v>
      </c>
      <c r="Y285" s="13">
        <v>0.086025</v>
      </c>
      <c r="Z285" s="13">
        <v>0.178079</v>
      </c>
      <c r="AA285" s="13">
        <v>0.3797</v>
      </c>
      <c r="AB285" s="13">
        <v>1.271</v>
      </c>
      <c r="AC285" s="13">
        <v>0.1609</v>
      </c>
      <c r="AD285" s="13">
        <v>1.5422</v>
      </c>
      <c r="AE285" s="13">
        <v>0.447297</v>
      </c>
      <c r="AF285" s="13"/>
      <c r="AG285" s="13">
        <v>115.554677755131</v>
      </c>
      <c r="AH285" s="13">
        <f t="shared" si="31"/>
        <v>0</v>
      </c>
      <c r="AI285" s="13">
        <v>1.9</v>
      </c>
      <c r="AJ285" s="13">
        <f t="shared" si="32"/>
        <v>0</v>
      </c>
      <c r="AK285" s="13">
        <v>0.079513</v>
      </c>
      <c r="AL285" s="13">
        <v>0.246401</v>
      </c>
      <c r="AM285" s="13">
        <v>0.2578</v>
      </c>
      <c r="AN285" s="13">
        <v>1.2496</v>
      </c>
      <c r="AO285" s="13">
        <v>0.130283850297446</v>
      </c>
      <c r="AP285" s="13">
        <v>2.64346097606925</v>
      </c>
      <c r="AQ285" s="13">
        <v>0.524976</v>
      </c>
      <c r="AR285" s="13">
        <v>0.3</v>
      </c>
      <c r="AS285" s="13">
        <v>151.534732124742</v>
      </c>
      <c r="AT285" s="13">
        <f t="shared" si="33"/>
        <v>0.00197974415365741</v>
      </c>
      <c r="AU285" s="13">
        <v>2.89</v>
      </c>
      <c r="AV285" s="13">
        <f t="shared" si="34"/>
        <v>0.103806228373702</v>
      </c>
      <c r="AW285" s="13">
        <v>0.107229</v>
      </c>
      <c r="AX285" s="13">
        <v>0.284821</v>
      </c>
      <c r="AY285" s="13">
        <v>0.3014</v>
      </c>
      <c r="AZ285" s="13">
        <v>1.2477</v>
      </c>
      <c r="BA285" s="13">
        <v>-0.155970994070443</v>
      </c>
      <c r="BB285" s="13">
        <v>2.48582393545103</v>
      </c>
      <c r="BC285" s="13">
        <v>0.321463</v>
      </c>
    </row>
    <row r="286" spans="1:55">
      <c r="A286" s="8" t="s">
        <v>902</v>
      </c>
      <c r="B286" s="8" t="s">
        <v>903</v>
      </c>
      <c r="C286" s="8" t="s">
        <v>82</v>
      </c>
      <c r="D286" s="9">
        <v>19870</v>
      </c>
      <c r="E286" s="8" t="s">
        <v>58</v>
      </c>
      <c r="F286" s="8" t="s">
        <v>67</v>
      </c>
      <c r="G286" s="10">
        <v>48080711644.23</v>
      </c>
      <c r="H286" s="10">
        <v>5</v>
      </c>
      <c r="I286" s="9">
        <v>469504744</v>
      </c>
      <c r="J286" s="9">
        <v>1151184545</v>
      </c>
      <c r="K286" s="11">
        <v>100</v>
      </c>
      <c r="L286" s="12">
        <v>43738</v>
      </c>
      <c r="M286" s="12">
        <v>41507</v>
      </c>
      <c r="N286" s="9">
        <f t="shared" si="28"/>
        <v>2231</v>
      </c>
      <c r="O286" s="13">
        <v>47.15</v>
      </c>
      <c r="P286" s="13">
        <v>6.28</v>
      </c>
      <c r="Q286" s="13">
        <v>5.44</v>
      </c>
      <c r="R286" s="8" t="s">
        <v>904</v>
      </c>
      <c r="S286" s="13">
        <v>25582</v>
      </c>
      <c r="T286" s="13">
        <v>1.5</v>
      </c>
      <c r="U286" s="13">
        <v>104.5477</v>
      </c>
      <c r="V286" s="13">
        <f t="shared" si="29"/>
        <v>0.0143475179272236</v>
      </c>
      <c r="W286" s="13">
        <v>4.9</v>
      </c>
      <c r="X286" s="13">
        <f t="shared" si="30"/>
        <v>0.306122448979592</v>
      </c>
      <c r="Y286" s="13">
        <v>0.289872</v>
      </c>
      <c r="Z286" s="13">
        <v>0.081457</v>
      </c>
      <c r="AA286" s="13">
        <v>1.5072</v>
      </c>
      <c r="AB286" s="13">
        <v>2.3817</v>
      </c>
      <c r="AC286" s="13">
        <v>0.0414</v>
      </c>
      <c r="AD286" s="13">
        <v>1.0346</v>
      </c>
      <c r="AE286" s="13">
        <v>0.103065</v>
      </c>
      <c r="AF286" s="13">
        <v>1.8</v>
      </c>
      <c r="AG286" s="13">
        <v>84.7631047445892</v>
      </c>
      <c r="AH286" s="13">
        <f t="shared" si="31"/>
        <v>0.021235654420916</v>
      </c>
      <c r="AI286" s="13">
        <v>3.09</v>
      </c>
      <c r="AJ286" s="13">
        <f t="shared" si="32"/>
        <v>0.58252427184466</v>
      </c>
      <c r="AK286" s="13">
        <v>0.166468</v>
      </c>
      <c r="AL286" s="13">
        <v>0.052941</v>
      </c>
      <c r="AM286" s="13">
        <v>1.4957</v>
      </c>
      <c r="AN286" s="13">
        <v>2.0879</v>
      </c>
      <c r="AO286" s="13">
        <v>0.0424797703346529</v>
      </c>
      <c r="AP286" s="13">
        <v>1.47875418737061</v>
      </c>
      <c r="AQ286" s="13">
        <v>-0.05699</v>
      </c>
      <c r="AR286" s="13">
        <v>3</v>
      </c>
      <c r="AS286" s="13">
        <v>118.31545532104</v>
      </c>
      <c r="AT286" s="13">
        <f t="shared" si="33"/>
        <v>0.0253559434974892</v>
      </c>
      <c r="AU286" s="13">
        <v>6.88</v>
      </c>
      <c r="AV286" s="13">
        <f t="shared" si="34"/>
        <v>0.436046511627907</v>
      </c>
      <c r="AW286" s="13">
        <v>0.326922</v>
      </c>
      <c r="AX286" s="13">
        <v>0.089687</v>
      </c>
      <c r="AY286" s="13">
        <v>1.6187</v>
      </c>
      <c r="AZ286" s="13">
        <v>2.2722</v>
      </c>
      <c r="BA286" s="13">
        <v>0.190867397892064</v>
      </c>
      <c r="BB286" s="13">
        <v>1.09287938087342</v>
      </c>
      <c r="BC286" s="13">
        <v>0.336917</v>
      </c>
    </row>
    <row r="287" spans="1:55">
      <c r="A287" s="8" t="s">
        <v>905</v>
      </c>
      <c r="B287" s="8" t="s">
        <v>906</v>
      </c>
      <c r="C287" s="8" t="s">
        <v>57</v>
      </c>
      <c r="D287" s="9">
        <v>2803</v>
      </c>
      <c r="E287" s="8" t="s">
        <v>188</v>
      </c>
      <c r="F287" s="8" t="s">
        <v>67</v>
      </c>
      <c r="G287" s="10">
        <v>33181689668.68</v>
      </c>
      <c r="H287" s="10">
        <v>7</v>
      </c>
      <c r="I287" s="9">
        <v>886557181</v>
      </c>
      <c r="J287" s="9">
        <v>2324338091</v>
      </c>
      <c r="K287" s="11">
        <v>100</v>
      </c>
      <c r="L287" s="12">
        <v>44785</v>
      </c>
      <c r="M287" s="12">
        <v>41936</v>
      </c>
      <c r="N287" s="9">
        <f t="shared" si="28"/>
        <v>2849</v>
      </c>
      <c r="O287" s="13">
        <v>27.96</v>
      </c>
      <c r="P287" s="13">
        <v>10.81</v>
      </c>
      <c r="Q287" s="13">
        <v>7.21</v>
      </c>
      <c r="R287" s="8" t="s">
        <v>907</v>
      </c>
      <c r="S287" s="13">
        <v>127498</v>
      </c>
      <c r="T287" s="13">
        <v>0.17</v>
      </c>
      <c r="U287" s="13">
        <v>97.4452</v>
      </c>
      <c r="V287" s="13">
        <f t="shared" si="29"/>
        <v>0.00174457028155312</v>
      </c>
      <c r="W287" s="13">
        <v>0.83</v>
      </c>
      <c r="X287" s="13">
        <f t="shared" si="30"/>
        <v>0.204819277108434</v>
      </c>
      <c r="Y287" s="13">
        <v>0.099137</v>
      </c>
      <c r="Z287" s="13">
        <v>0.296541</v>
      </c>
      <c r="AA287" s="13">
        <v>0.3561</v>
      </c>
      <c r="AB287" s="13">
        <v>1.321</v>
      </c>
      <c r="AC287" s="13">
        <v>0.1066</v>
      </c>
      <c r="AD287" s="13">
        <v>2.0048</v>
      </c>
      <c r="AE287" s="13">
        <v>0.523977</v>
      </c>
      <c r="AF287" s="13">
        <v>0.04</v>
      </c>
      <c r="AG287" s="13">
        <v>50.028036018637</v>
      </c>
      <c r="AH287" s="13">
        <f t="shared" si="31"/>
        <v>0.00079955167508672</v>
      </c>
      <c r="AI287" s="13">
        <v>0.38</v>
      </c>
      <c r="AJ287" s="13">
        <f t="shared" si="32"/>
        <v>0.105263157894737</v>
      </c>
      <c r="AK287" s="13">
        <v>0.071557</v>
      </c>
      <c r="AL287" s="13">
        <v>0.219451</v>
      </c>
      <c r="AM287" s="13">
        <v>0.3165</v>
      </c>
      <c r="AN287" s="13">
        <v>1.4423</v>
      </c>
      <c r="AO287" s="13">
        <v>-0.00843967777192474</v>
      </c>
      <c r="AP287" s="13">
        <v>8.37981858920003</v>
      </c>
      <c r="AQ287" s="13">
        <v>1.218331</v>
      </c>
      <c r="AR287" s="13">
        <v>0.1101</v>
      </c>
      <c r="AS287" s="13">
        <v>67.819586612099</v>
      </c>
      <c r="AT287" s="13">
        <f t="shared" si="33"/>
        <v>0.00162342481722468</v>
      </c>
      <c r="AU287" s="13">
        <v>0.54</v>
      </c>
      <c r="AV287" s="13">
        <f t="shared" si="34"/>
        <v>0.203888888888889</v>
      </c>
      <c r="AW287" s="13">
        <v>0.070651</v>
      </c>
      <c r="AX287" s="13">
        <v>0.282965</v>
      </c>
      <c r="AY287" s="13">
        <v>0.2682</v>
      </c>
      <c r="AZ287" s="13">
        <v>1.2539</v>
      </c>
      <c r="BA287" s="13">
        <v>0.135346872142537</v>
      </c>
      <c r="BB287" s="13">
        <v>7.40129411355234</v>
      </c>
      <c r="BC287" s="13">
        <v>0.173012</v>
      </c>
    </row>
    <row r="288" spans="1:55">
      <c r="A288" s="8" t="s">
        <v>908</v>
      </c>
      <c r="B288" s="8" t="s">
        <v>909</v>
      </c>
      <c r="C288" s="8" t="s">
        <v>82</v>
      </c>
      <c r="D288" s="9">
        <v>940</v>
      </c>
      <c r="E288" s="8" t="s">
        <v>132</v>
      </c>
      <c r="F288" s="8" t="s">
        <v>222</v>
      </c>
      <c r="G288" s="10">
        <v>3133065011.57</v>
      </c>
      <c r="H288" s="10">
        <v>11</v>
      </c>
      <c r="I288" s="9">
        <v>161526236</v>
      </c>
      <c r="J288" s="9">
        <v>401000000</v>
      </c>
      <c r="K288" s="11">
        <v>100</v>
      </c>
      <c r="L288" s="12">
        <v>44736</v>
      </c>
      <c r="M288" s="12">
        <v>39512</v>
      </c>
      <c r="N288" s="9">
        <f t="shared" si="28"/>
        <v>5224</v>
      </c>
      <c r="O288" s="13">
        <v>21.56</v>
      </c>
      <c r="P288" s="13">
        <v>19.32</v>
      </c>
      <c r="Q288" s="13">
        <v>6.01</v>
      </c>
      <c r="R288" s="8" t="s">
        <v>910</v>
      </c>
      <c r="S288" s="13">
        <v>28232</v>
      </c>
      <c r="T288" s="13"/>
      <c r="U288" s="13">
        <v>115.683</v>
      </c>
      <c r="V288" s="13">
        <f t="shared" si="29"/>
        <v>0</v>
      </c>
      <c r="W288" s="13">
        <v>-1.56</v>
      </c>
      <c r="X288" s="13">
        <f t="shared" si="30"/>
        <v>0</v>
      </c>
      <c r="Y288" s="13">
        <v>-0.19285</v>
      </c>
      <c r="Z288" s="13">
        <v>-1.240135</v>
      </c>
      <c r="AA288" s="13">
        <v>0.1325</v>
      </c>
      <c r="AB288" s="13">
        <v>1.1734</v>
      </c>
      <c r="AC288" s="13">
        <v>-0.6644</v>
      </c>
      <c r="AD288" s="13">
        <v>2.5368</v>
      </c>
      <c r="AE288" s="13">
        <v>-0.002842</v>
      </c>
      <c r="AF288" s="13"/>
      <c r="AG288" s="13">
        <v>87.885194617051</v>
      </c>
      <c r="AH288" s="13">
        <f t="shared" si="31"/>
        <v>0</v>
      </c>
      <c r="AI288" s="13">
        <v>0.14</v>
      </c>
      <c r="AJ288" s="13">
        <f t="shared" si="32"/>
        <v>0</v>
      </c>
      <c r="AK288" s="13">
        <v>0.019593</v>
      </c>
      <c r="AL288" s="13">
        <v>0.070062</v>
      </c>
      <c r="AM288" s="13">
        <v>0.2324</v>
      </c>
      <c r="AN288" s="13">
        <v>1.2035</v>
      </c>
      <c r="AO288" s="13">
        <v>-1.04113994270623</v>
      </c>
      <c r="AP288" s="13">
        <v>5.47000024475132</v>
      </c>
      <c r="AQ288" s="13">
        <v>-0.385094</v>
      </c>
      <c r="AR288" s="13"/>
      <c r="AS288" s="13">
        <v>114.222517661384</v>
      </c>
      <c r="AT288" s="13">
        <f t="shared" si="33"/>
        <v>0</v>
      </c>
      <c r="AU288" s="13">
        <v>-0.82</v>
      </c>
      <c r="AV288" s="13">
        <f t="shared" si="34"/>
        <v>0</v>
      </c>
      <c r="AW288" s="13">
        <v>-0.088566</v>
      </c>
      <c r="AX288" s="13">
        <v>-0.65146</v>
      </c>
      <c r="AY288" s="13">
        <v>0.1193</v>
      </c>
      <c r="AZ288" s="13">
        <v>1.1399</v>
      </c>
      <c r="BA288" s="13">
        <v>-0.811413892593366</v>
      </c>
      <c r="BB288" s="13">
        <v>3.39143604052202</v>
      </c>
      <c r="BC288" s="13">
        <v>-0.315388</v>
      </c>
    </row>
    <row r="289" spans="1:55">
      <c r="A289" s="8" t="s">
        <v>911</v>
      </c>
      <c r="B289" s="8" t="s">
        <v>912</v>
      </c>
      <c r="C289" s="8" t="s">
        <v>157</v>
      </c>
      <c r="D289" s="9">
        <v>2002</v>
      </c>
      <c r="E289" s="8" t="s">
        <v>198</v>
      </c>
      <c r="F289" s="8" t="s">
        <v>67</v>
      </c>
      <c r="G289" s="10">
        <v>18213006462.56</v>
      </c>
      <c r="H289" s="10">
        <v>5</v>
      </c>
      <c r="I289" s="9">
        <v>78687502</v>
      </c>
      <c r="J289" s="9">
        <v>480164789</v>
      </c>
      <c r="K289" s="11">
        <v>90.8813</v>
      </c>
      <c r="L289" s="12">
        <v>44518</v>
      </c>
      <c r="M289" s="12">
        <v>38489</v>
      </c>
      <c r="N289" s="9">
        <f t="shared" si="28"/>
        <v>6029</v>
      </c>
      <c r="O289" s="13">
        <v>74.54</v>
      </c>
      <c r="P289" s="13">
        <v>3.65</v>
      </c>
      <c r="Q289" s="13">
        <v>1.05</v>
      </c>
      <c r="R289" s="8" t="s">
        <v>913</v>
      </c>
      <c r="S289" s="13">
        <v>21699</v>
      </c>
      <c r="T289" s="13">
        <v>0.65386</v>
      </c>
      <c r="U289" s="13">
        <v>96.2004</v>
      </c>
      <c r="V289" s="13">
        <f t="shared" si="29"/>
        <v>0.00679685323553748</v>
      </c>
      <c r="W289" s="13">
        <v>2.64</v>
      </c>
      <c r="X289" s="13">
        <f t="shared" si="30"/>
        <v>0.247674242424242</v>
      </c>
      <c r="Y289" s="13">
        <v>0.163296</v>
      </c>
      <c r="Z289" s="13">
        <v>0.205276</v>
      </c>
      <c r="AA289" s="13">
        <v>0.5135</v>
      </c>
      <c r="AB289" s="13">
        <v>1.5493</v>
      </c>
      <c r="AC289" s="13">
        <v>0.2165</v>
      </c>
      <c r="AD289" s="13">
        <v>0.7856</v>
      </c>
      <c r="AE289" s="13">
        <v>0.444765</v>
      </c>
      <c r="AF289" s="13">
        <v>0.372</v>
      </c>
      <c r="AG289" s="13">
        <v>93.0214064812725</v>
      </c>
      <c r="AH289" s="13">
        <f t="shared" si="31"/>
        <v>0.0039990795030055</v>
      </c>
      <c r="AI289" s="13">
        <v>1.54</v>
      </c>
      <c r="AJ289" s="13">
        <f t="shared" si="32"/>
        <v>0.241558441558442</v>
      </c>
      <c r="AK289" s="13">
        <v>0.129314</v>
      </c>
      <c r="AL289" s="13">
        <v>0.232675</v>
      </c>
      <c r="AM289" s="13">
        <v>0.3959</v>
      </c>
      <c r="AN289" s="13">
        <v>1.4037</v>
      </c>
      <c r="AO289" s="13">
        <v>-0.0935299400720257</v>
      </c>
      <c r="AP289" s="13">
        <v>0.710655988957821</v>
      </c>
      <c r="AQ289" s="13">
        <v>0.772534</v>
      </c>
      <c r="AR289" s="13">
        <v>0.62636</v>
      </c>
      <c r="AS289" s="13">
        <v>105.488442646221</v>
      </c>
      <c r="AT289" s="13">
        <f t="shared" si="33"/>
        <v>0.00593771207809597</v>
      </c>
      <c r="AU289" s="13">
        <v>2.09</v>
      </c>
      <c r="AV289" s="13">
        <f t="shared" si="34"/>
        <v>0.299693779904306</v>
      </c>
      <c r="AW289" s="13">
        <v>0.151978</v>
      </c>
      <c r="AX289" s="13">
        <v>0.234167</v>
      </c>
      <c r="AY289" s="13">
        <v>0.4337</v>
      </c>
      <c r="AZ289" s="13">
        <v>1.4963</v>
      </c>
      <c r="BA289" s="13">
        <v>-0.109806075445113</v>
      </c>
      <c r="BB289" s="13">
        <v>0.578521405325292</v>
      </c>
      <c r="BC289" s="13">
        <v>0.353387</v>
      </c>
    </row>
    <row r="290" spans="1:55">
      <c r="A290" s="8" t="s">
        <v>914</v>
      </c>
      <c r="B290" s="8" t="s">
        <v>915</v>
      </c>
      <c r="C290" s="8" t="s">
        <v>82</v>
      </c>
      <c r="D290" s="9">
        <v>5189</v>
      </c>
      <c r="E290" s="8" t="s">
        <v>132</v>
      </c>
      <c r="F290" s="8" t="s">
        <v>222</v>
      </c>
      <c r="G290" s="10">
        <v>16633808400.07</v>
      </c>
      <c r="H290" s="10">
        <v>2</v>
      </c>
      <c r="I290" s="9">
        <v>200211700</v>
      </c>
      <c r="J290" s="9">
        <v>463179293</v>
      </c>
      <c r="K290" s="11">
        <v>100</v>
      </c>
      <c r="L290" s="12">
        <v>43787</v>
      </c>
      <c r="M290" s="12">
        <v>40897</v>
      </c>
      <c r="N290" s="9">
        <f t="shared" si="28"/>
        <v>2890</v>
      </c>
      <c r="O290" s="13">
        <v>51.47</v>
      </c>
      <c r="P290" s="13">
        <v>3.87</v>
      </c>
      <c r="Q290" s="13">
        <v>2.22</v>
      </c>
      <c r="R290" s="8" t="s">
        <v>916</v>
      </c>
      <c r="S290" s="13">
        <v>34814</v>
      </c>
      <c r="T290" s="13">
        <v>0.89852</v>
      </c>
      <c r="U290" s="13">
        <v>260.6527</v>
      </c>
      <c r="V290" s="13">
        <f t="shared" si="29"/>
        <v>0.00344719237514133</v>
      </c>
      <c r="W290" s="13">
        <v>3.56</v>
      </c>
      <c r="X290" s="13">
        <f t="shared" si="30"/>
        <v>0.252393258426966</v>
      </c>
      <c r="Y290" s="13">
        <v>0.154436</v>
      </c>
      <c r="Z290" s="13">
        <v>0.323245</v>
      </c>
      <c r="AA290" s="13">
        <v>0.3427</v>
      </c>
      <c r="AB290" s="13">
        <v>1.4029</v>
      </c>
      <c r="AC290" s="13">
        <v>0.4288</v>
      </c>
      <c r="AD290" s="13">
        <v>0.6607</v>
      </c>
      <c r="AE290" s="13">
        <v>0.123985</v>
      </c>
      <c r="AF290" s="13">
        <v>0.72961</v>
      </c>
      <c r="AG290" s="13">
        <v>221.638240178522</v>
      </c>
      <c r="AH290" s="13">
        <f t="shared" si="31"/>
        <v>0.00329189583626149</v>
      </c>
      <c r="AI290" s="13">
        <v>2.42</v>
      </c>
      <c r="AJ290" s="13">
        <f t="shared" si="32"/>
        <v>0.30149173553719</v>
      </c>
      <c r="AK290" s="13">
        <v>0.135921</v>
      </c>
      <c r="AL290" s="13">
        <v>0.291103</v>
      </c>
      <c r="AM290" s="13">
        <v>0.3456</v>
      </c>
      <c r="AN290" s="13">
        <v>1.3673</v>
      </c>
      <c r="AO290" s="13">
        <v>0.412597553071677</v>
      </c>
      <c r="AP290" s="13">
        <v>2.98558004282463</v>
      </c>
      <c r="AQ290" s="13">
        <v>0.184418</v>
      </c>
      <c r="AR290" s="13">
        <v>0.87957</v>
      </c>
      <c r="AS290" s="13">
        <v>384.022304918645</v>
      </c>
      <c r="AT290" s="13">
        <f t="shared" si="33"/>
        <v>0.0022904138346504</v>
      </c>
      <c r="AU290" s="13">
        <v>2.86</v>
      </c>
      <c r="AV290" s="13">
        <f t="shared" si="34"/>
        <v>0.307541958041958</v>
      </c>
      <c r="AW290" s="13">
        <v>0.141137</v>
      </c>
      <c r="AX290" s="13">
        <v>0.288514</v>
      </c>
      <c r="AY290" s="13">
        <v>0.35</v>
      </c>
      <c r="AZ290" s="13">
        <v>1.3941</v>
      </c>
      <c r="BA290" s="13">
        <v>0.451615759704666</v>
      </c>
      <c r="BB290" s="13">
        <v>1.91864569985859</v>
      </c>
      <c r="BC290" s="13">
        <v>0.17272</v>
      </c>
    </row>
    <row r="291" spans="1:55">
      <c r="A291" s="8" t="s">
        <v>917</v>
      </c>
      <c r="B291" s="8" t="s">
        <v>918</v>
      </c>
      <c r="C291" s="8" t="s">
        <v>57</v>
      </c>
      <c r="D291" s="9">
        <v>3044</v>
      </c>
      <c r="E291" s="8" t="s">
        <v>198</v>
      </c>
      <c r="F291" s="8" t="s">
        <v>67</v>
      </c>
      <c r="G291" s="10">
        <v>32265941134.45</v>
      </c>
      <c r="H291" s="10">
        <v>3</v>
      </c>
      <c r="I291" s="9">
        <v>1546647136</v>
      </c>
      <c r="J291" s="9">
        <v>3194582680</v>
      </c>
      <c r="K291" s="11">
        <v>85.5091</v>
      </c>
      <c r="L291" s="12">
        <v>43941</v>
      </c>
      <c r="M291" s="12">
        <v>42347</v>
      </c>
      <c r="N291" s="9">
        <f t="shared" si="28"/>
        <v>1594</v>
      </c>
      <c r="O291" s="13">
        <v>17.75</v>
      </c>
      <c r="P291" s="13">
        <v>17.09</v>
      </c>
      <c r="Q291" s="13">
        <v>9.36</v>
      </c>
      <c r="R291" s="8"/>
      <c r="S291" s="13">
        <v>78700</v>
      </c>
      <c r="T291" s="13"/>
      <c r="U291" s="13">
        <v>18.8238</v>
      </c>
      <c r="V291" s="13">
        <f t="shared" si="29"/>
        <v>0</v>
      </c>
      <c r="W291" s="13">
        <v>-0.353</v>
      </c>
      <c r="X291" s="13">
        <f t="shared" si="30"/>
        <v>0</v>
      </c>
      <c r="Y291" s="13">
        <v>-0.070807</v>
      </c>
      <c r="Z291" s="13">
        <v>-0.331114</v>
      </c>
      <c r="AA291" s="13">
        <v>0.1162</v>
      </c>
      <c r="AB291" s="13">
        <v>2.1267</v>
      </c>
      <c r="AC291" s="13">
        <v>-0.2325</v>
      </c>
      <c r="AD291" s="13">
        <v>1.4172</v>
      </c>
      <c r="AE291" s="13">
        <v>0.061847</v>
      </c>
      <c r="AF291" s="13"/>
      <c r="AG291" s="13">
        <v>22.0211261470956</v>
      </c>
      <c r="AH291" s="13">
        <f t="shared" si="31"/>
        <v>0</v>
      </c>
      <c r="AI291" s="13">
        <v>0.121</v>
      </c>
      <c r="AJ291" s="13">
        <f t="shared" si="32"/>
        <v>0</v>
      </c>
      <c r="AK291" s="13">
        <v>0.026305</v>
      </c>
      <c r="AL291" s="13">
        <v>0.095699</v>
      </c>
      <c r="AM291" s="13">
        <v>0.1726</v>
      </c>
      <c r="AN291" s="13">
        <v>1.6882</v>
      </c>
      <c r="AO291" s="13">
        <v>0.127435993906796</v>
      </c>
      <c r="AP291" s="13">
        <v>4.69128112191545</v>
      </c>
      <c r="AQ291" s="13">
        <v>0.459508</v>
      </c>
      <c r="AR291" s="13">
        <v>0.04</v>
      </c>
      <c r="AS291" s="13">
        <v>21.6321946078445</v>
      </c>
      <c r="AT291" s="13">
        <f t="shared" si="33"/>
        <v>0.00184909579102505</v>
      </c>
      <c r="AU291" s="13">
        <v>0.068</v>
      </c>
      <c r="AV291" s="13">
        <f t="shared" si="34"/>
        <v>0.588235294117647</v>
      </c>
      <c r="AW291" s="13">
        <v>0.012688</v>
      </c>
      <c r="AX291" s="13">
        <v>0.050376</v>
      </c>
      <c r="AY291" s="13">
        <v>0.1171</v>
      </c>
      <c r="AZ291" s="13">
        <v>1.8532</v>
      </c>
      <c r="BA291" s="13">
        <v>-0.0861132955001109</v>
      </c>
      <c r="BB291" s="13">
        <v>2.67224843483818</v>
      </c>
      <c r="BC291" s="13">
        <v>-0.113894</v>
      </c>
    </row>
    <row r="292" spans="1:55">
      <c r="A292" s="8" t="s">
        <v>919</v>
      </c>
      <c r="B292" s="8" t="s">
        <v>920</v>
      </c>
      <c r="C292" s="8" t="s">
        <v>82</v>
      </c>
      <c r="D292" s="9">
        <v>2560</v>
      </c>
      <c r="E292" s="8" t="s">
        <v>132</v>
      </c>
      <c r="F292" s="8" t="s">
        <v>67</v>
      </c>
      <c r="G292" s="10">
        <v>19291307469</v>
      </c>
      <c r="H292" s="10">
        <v>3</v>
      </c>
      <c r="I292" s="9">
        <v>204728957</v>
      </c>
      <c r="J292" s="9">
        <v>259106368</v>
      </c>
      <c r="K292" s="11">
        <v>100</v>
      </c>
      <c r="L292" s="12">
        <v>43882</v>
      </c>
      <c r="M292" s="12">
        <v>41824</v>
      </c>
      <c r="N292" s="9">
        <f t="shared" si="28"/>
        <v>2058</v>
      </c>
      <c r="O292" s="13">
        <v>20.99</v>
      </c>
      <c r="P292" s="13">
        <v>5.62</v>
      </c>
      <c r="Q292" s="13">
        <v>4.53</v>
      </c>
      <c r="R292" s="8" t="s">
        <v>921</v>
      </c>
      <c r="S292" s="13">
        <v>15944</v>
      </c>
      <c r="T292" s="13">
        <v>1.06964</v>
      </c>
      <c r="U292" s="13">
        <v>279.5585</v>
      </c>
      <c r="V292" s="13">
        <f t="shared" si="29"/>
        <v>0.0038261759166686</v>
      </c>
      <c r="W292" s="13">
        <v>10.77</v>
      </c>
      <c r="X292" s="13">
        <f t="shared" si="30"/>
        <v>0.0993166202414113</v>
      </c>
      <c r="Y292" s="13">
        <v>0.163017</v>
      </c>
      <c r="Z292" s="13">
        <v>0.165474</v>
      </c>
      <c r="AA292" s="13">
        <v>0.7498</v>
      </c>
      <c r="AB292" s="13">
        <v>1.3139</v>
      </c>
      <c r="AC292" s="13">
        <v>0.1452</v>
      </c>
      <c r="AD292" s="13">
        <v>1.458</v>
      </c>
      <c r="AE292" s="13">
        <v>0.380287</v>
      </c>
      <c r="AF292" s="13">
        <v>1.27</v>
      </c>
      <c r="AG292" s="13">
        <v>436.660004202504</v>
      </c>
      <c r="AH292" s="13">
        <f t="shared" si="31"/>
        <v>0.0029084413222582</v>
      </c>
      <c r="AI292" s="13">
        <v>12.66</v>
      </c>
      <c r="AJ292" s="13">
        <f t="shared" si="32"/>
        <v>0.100315955766193</v>
      </c>
      <c r="AK292" s="13">
        <v>0.131148</v>
      </c>
      <c r="AL292" s="13">
        <v>0.178536</v>
      </c>
      <c r="AM292" s="13">
        <v>0.6423</v>
      </c>
      <c r="AN292" s="13">
        <v>1.1436</v>
      </c>
      <c r="AO292" s="13">
        <v>0.169032358461125</v>
      </c>
      <c r="AP292" s="13">
        <v>4.65062753367391</v>
      </c>
      <c r="AQ292" s="13">
        <v>0.135628</v>
      </c>
      <c r="AR292" s="13">
        <v>4.67067</v>
      </c>
      <c r="AS292" s="13">
        <v>306.855039368542</v>
      </c>
      <c r="AT292" s="13">
        <f t="shared" si="33"/>
        <v>0.0152210959598757</v>
      </c>
      <c r="AU292" s="13">
        <v>15.66</v>
      </c>
      <c r="AV292" s="13">
        <f t="shared" si="34"/>
        <v>0.298254789272031</v>
      </c>
      <c r="AW292" s="13">
        <v>0.195943</v>
      </c>
      <c r="AX292" s="13">
        <v>0.23703</v>
      </c>
      <c r="AY292" s="13">
        <v>0.6865</v>
      </c>
      <c r="AZ292" s="13">
        <v>1.2041</v>
      </c>
      <c r="BA292" s="13">
        <v>0.252598334041021</v>
      </c>
      <c r="BB292" s="13">
        <v>2.05531142302413</v>
      </c>
      <c r="BC292" s="13">
        <v>0.305499</v>
      </c>
    </row>
    <row r="293" spans="1:55">
      <c r="A293" s="8" t="s">
        <v>922</v>
      </c>
      <c r="B293" s="8" t="s">
        <v>923</v>
      </c>
      <c r="C293" s="8" t="s">
        <v>77</v>
      </c>
      <c r="D293" s="9">
        <v>10010</v>
      </c>
      <c r="E293" s="8" t="s">
        <v>73</v>
      </c>
      <c r="F293" s="8" t="s">
        <v>67</v>
      </c>
      <c r="G293" s="10">
        <v>69547876862</v>
      </c>
      <c r="H293" s="10">
        <v>5</v>
      </c>
      <c r="I293" s="9">
        <v>258526027</v>
      </c>
      <c r="J293" s="9">
        <v>1357948412</v>
      </c>
      <c r="K293" s="11">
        <v>63.9868</v>
      </c>
      <c r="L293" s="12">
        <v>44446</v>
      </c>
      <c r="M293" s="12">
        <v>38621</v>
      </c>
      <c r="N293" s="9">
        <f t="shared" si="28"/>
        <v>5825</v>
      </c>
      <c r="O293" s="13">
        <v>44.21</v>
      </c>
      <c r="P293" s="13">
        <v>35.92</v>
      </c>
      <c r="Q293" s="13">
        <v>1.21</v>
      </c>
      <c r="R293" s="8" t="s">
        <v>924</v>
      </c>
      <c r="S293" s="13">
        <v>21458</v>
      </c>
      <c r="T293" s="13">
        <v>1</v>
      </c>
      <c r="U293" s="13">
        <v>47.469</v>
      </c>
      <c r="V293" s="13">
        <f t="shared" si="29"/>
        <v>0.0210663801638964</v>
      </c>
      <c r="W293" s="13">
        <v>2.62</v>
      </c>
      <c r="X293" s="13">
        <f t="shared" si="30"/>
        <v>0.381679389312977</v>
      </c>
      <c r="Y293" s="13">
        <v>0.094461</v>
      </c>
      <c r="Z293" s="13">
        <v>0.158528</v>
      </c>
      <c r="AA293" s="13">
        <v>0.4214</v>
      </c>
      <c r="AB293" s="13">
        <v>1.5079</v>
      </c>
      <c r="AC293" s="13">
        <v>0.1349</v>
      </c>
      <c r="AD293" s="13">
        <v>0.9296</v>
      </c>
      <c r="AE293" s="13">
        <v>0.134178</v>
      </c>
      <c r="AF293" s="13">
        <v>0.55</v>
      </c>
      <c r="AG293" s="13">
        <v>58.7425678720369</v>
      </c>
      <c r="AH293" s="13">
        <f t="shared" si="31"/>
        <v>0.00936288657312537</v>
      </c>
      <c r="AI293" s="13">
        <v>1.8</v>
      </c>
      <c r="AJ293" s="13">
        <f t="shared" si="32"/>
        <v>0.305555555555556</v>
      </c>
      <c r="AK293" s="13">
        <v>0.076121</v>
      </c>
      <c r="AL293" s="13">
        <v>0.143729</v>
      </c>
      <c r="AM293" s="13">
        <v>0.3892</v>
      </c>
      <c r="AN293" s="13">
        <v>1.3799</v>
      </c>
      <c r="AO293" s="13">
        <v>0.113189559919206</v>
      </c>
      <c r="AP293" s="13">
        <v>1.50451848647709</v>
      </c>
      <c r="AQ293" s="13">
        <v>0.192618</v>
      </c>
      <c r="AR293" s="13">
        <v>0.78</v>
      </c>
      <c r="AS293" s="13">
        <v>45.3346099817202</v>
      </c>
      <c r="AT293" s="13">
        <f t="shared" si="33"/>
        <v>0.0172053978255137</v>
      </c>
      <c r="AU293" s="13">
        <v>2.19</v>
      </c>
      <c r="AV293" s="13">
        <f t="shared" si="34"/>
        <v>0.356164383561644</v>
      </c>
      <c r="AW293" s="13">
        <v>0.086999</v>
      </c>
      <c r="AX293" s="13">
        <v>0.144507</v>
      </c>
      <c r="AY293" s="13">
        <v>0.4278</v>
      </c>
      <c r="AZ293" s="13">
        <v>1.4274</v>
      </c>
      <c r="BA293" s="13">
        <v>0.127615629841188</v>
      </c>
      <c r="BB293" s="13">
        <v>1.1209263284722</v>
      </c>
      <c r="BC293" s="13">
        <v>0.208784</v>
      </c>
    </row>
    <row r="294" spans="1:55">
      <c r="A294" s="8" t="s">
        <v>925</v>
      </c>
      <c r="B294" s="8" t="s">
        <v>926</v>
      </c>
      <c r="C294" s="8" t="s">
        <v>82</v>
      </c>
      <c r="D294" s="9">
        <v>33809</v>
      </c>
      <c r="E294" s="8" t="s">
        <v>259</v>
      </c>
      <c r="F294" s="8" t="s">
        <v>67</v>
      </c>
      <c r="G294" s="10">
        <v>117198376908.76</v>
      </c>
      <c r="H294" s="10">
        <v>11</v>
      </c>
      <c r="I294" s="9">
        <v>3640029890</v>
      </c>
      <c r="J294" s="9">
        <v>10005202678</v>
      </c>
      <c r="K294" s="11">
        <v>100</v>
      </c>
      <c r="L294" s="12">
        <v>44587</v>
      </c>
      <c r="M294" s="12">
        <v>39064</v>
      </c>
      <c r="N294" s="9">
        <f t="shared" si="28"/>
        <v>5523</v>
      </c>
      <c r="O294" s="13">
        <v>55.59</v>
      </c>
      <c r="P294" s="13">
        <v>3.06</v>
      </c>
      <c r="Q294" s="13">
        <v>2.65</v>
      </c>
      <c r="R294" s="8" t="s">
        <v>927</v>
      </c>
      <c r="S294" s="13">
        <v>77286</v>
      </c>
      <c r="T294" s="13"/>
      <c r="U294" s="13">
        <v>8.3189</v>
      </c>
      <c r="V294" s="13">
        <f t="shared" si="29"/>
        <v>0</v>
      </c>
      <c r="W294" s="13">
        <v>0.01</v>
      </c>
      <c r="X294" s="13">
        <f t="shared" si="30"/>
        <v>0</v>
      </c>
      <c r="Y294" s="13">
        <v>0.002968</v>
      </c>
      <c r="Z294" s="13">
        <v>0.001629</v>
      </c>
      <c r="AA294" s="13">
        <v>0.7303</v>
      </c>
      <c r="AB294" s="13">
        <v>3.7982</v>
      </c>
      <c r="AC294" s="13">
        <v>0.0851</v>
      </c>
      <c r="AD294" s="13">
        <v>0.6508</v>
      </c>
      <c r="AE294" s="13">
        <v>-0.220846</v>
      </c>
      <c r="AF294" s="13">
        <v>0.089</v>
      </c>
      <c r="AG294" s="13">
        <v>13.4780456684754</v>
      </c>
      <c r="AH294" s="13">
        <f t="shared" si="31"/>
        <v>0.00660333123875425</v>
      </c>
      <c r="AI294" s="13">
        <v>0.3</v>
      </c>
      <c r="AJ294" s="13">
        <f t="shared" si="32"/>
        <v>0.296666666666667</v>
      </c>
      <c r="AK294" s="13">
        <v>0.145927</v>
      </c>
      <c r="AL294" s="13">
        <v>0.035514</v>
      </c>
      <c r="AM294" s="13">
        <v>0.9263</v>
      </c>
      <c r="AN294" s="13">
        <v>4.4359</v>
      </c>
      <c r="AO294" s="13">
        <v>0.0494000126208252</v>
      </c>
      <c r="AP294" s="13">
        <v>0.395884733952906</v>
      </c>
      <c r="AQ294" s="13">
        <v>1.037882</v>
      </c>
      <c r="AR294" s="13">
        <v>0.224</v>
      </c>
      <c r="AS294" s="13">
        <v>12.0816734513862</v>
      </c>
      <c r="AT294" s="13">
        <f t="shared" si="33"/>
        <v>0.018540477931416</v>
      </c>
      <c r="AU294" s="13">
        <v>0.74</v>
      </c>
      <c r="AV294" s="13">
        <f t="shared" si="34"/>
        <v>0.302702702702703</v>
      </c>
      <c r="AW294" s="13">
        <v>0.243749</v>
      </c>
      <c r="AX294" s="13">
        <v>0.062693</v>
      </c>
      <c r="AY294" s="13">
        <v>0.9983</v>
      </c>
      <c r="AZ294" s="13">
        <v>3.8944</v>
      </c>
      <c r="BA294" s="13">
        <v>0.209100118511906</v>
      </c>
      <c r="BB294" s="13">
        <v>0.439807005822046</v>
      </c>
      <c r="BC294" s="13">
        <v>0.435503</v>
      </c>
    </row>
    <row r="295" spans="1:55">
      <c r="A295" s="8" t="s">
        <v>928</v>
      </c>
      <c r="B295" s="8" t="s">
        <v>929</v>
      </c>
      <c r="C295" s="8" t="s">
        <v>82</v>
      </c>
      <c r="D295" s="9">
        <v>980</v>
      </c>
      <c r="E295" s="8" t="s">
        <v>132</v>
      </c>
      <c r="F295" s="8" t="s">
        <v>222</v>
      </c>
      <c r="G295" s="10">
        <v>12592153353.85</v>
      </c>
      <c r="H295" s="10">
        <v>0</v>
      </c>
      <c r="I295" s="9">
        <v>202503983</v>
      </c>
      <c r="J295" s="9">
        <v>421685170</v>
      </c>
      <c r="K295" s="11">
        <v>99.2091</v>
      </c>
      <c r="L295" s="12">
        <v>44032</v>
      </c>
      <c r="M295" s="12">
        <v>42444</v>
      </c>
      <c r="N295" s="9">
        <f t="shared" si="28"/>
        <v>1588</v>
      </c>
      <c r="O295" s="13">
        <v>28.35</v>
      </c>
      <c r="P295" s="13">
        <v>15.57</v>
      </c>
      <c r="Q295" s="13">
        <v>7.27</v>
      </c>
      <c r="R295" s="8"/>
      <c r="S295" s="13">
        <v>61993</v>
      </c>
      <c r="T295" s="13"/>
      <c r="U295" s="13">
        <v>274.0683</v>
      </c>
      <c r="V295" s="13">
        <f t="shared" si="29"/>
        <v>0</v>
      </c>
      <c r="W295" s="13">
        <v>-1.09</v>
      </c>
      <c r="X295" s="13">
        <f t="shared" si="30"/>
        <v>0</v>
      </c>
      <c r="Y295" s="13">
        <v>-0.081705</v>
      </c>
      <c r="Z295" s="13">
        <v>-0.389051</v>
      </c>
      <c r="AA295" s="13">
        <v>0.1788</v>
      </c>
      <c r="AB295" s="13">
        <v>1.1863</v>
      </c>
      <c r="AC295" s="13">
        <v>-1.3776</v>
      </c>
      <c r="AD295" s="13">
        <v>3.3688</v>
      </c>
      <c r="AE295" s="13">
        <v>0.655606</v>
      </c>
      <c r="AF295" s="13"/>
      <c r="AG295" s="13">
        <v>68.1973342022054</v>
      </c>
      <c r="AH295" s="13">
        <f t="shared" si="31"/>
        <v>0</v>
      </c>
      <c r="AI295" s="13">
        <v>-3.14</v>
      </c>
      <c r="AJ295" s="13">
        <f t="shared" si="32"/>
        <v>0</v>
      </c>
      <c r="AK295" s="13">
        <v>-0.233866</v>
      </c>
      <c r="AL295" s="13">
        <v>-1.817481</v>
      </c>
      <c r="AM295" s="13">
        <v>0.1143</v>
      </c>
      <c r="AN295" s="13">
        <v>1.1874</v>
      </c>
      <c r="AO295" s="13">
        <v>-1.82413982545352</v>
      </c>
      <c r="AP295" s="13">
        <v>4.55106633388038</v>
      </c>
      <c r="AQ295" s="13">
        <v>0.01108</v>
      </c>
      <c r="AR295" s="13"/>
      <c r="AS295" s="13">
        <v>161.702066350268</v>
      </c>
      <c r="AT295" s="13">
        <f t="shared" si="33"/>
        <v>0</v>
      </c>
      <c r="AU295" s="13">
        <v>-2.07</v>
      </c>
      <c r="AV295" s="13">
        <f t="shared" si="34"/>
        <v>0</v>
      </c>
      <c r="AW295" s="13">
        <v>-0.161532</v>
      </c>
      <c r="AX295" s="13">
        <v>-1.237798</v>
      </c>
      <c r="AY295" s="13">
        <v>0.1164</v>
      </c>
      <c r="AZ295" s="13">
        <v>1.1603</v>
      </c>
      <c r="BA295" s="13">
        <v>-0.839507027936305</v>
      </c>
      <c r="BB295" s="13">
        <v>10.0478593091244</v>
      </c>
      <c r="BC295" s="13">
        <v>-0.026951</v>
      </c>
    </row>
    <row r="296" spans="1:55">
      <c r="A296" s="8" t="s">
        <v>930</v>
      </c>
      <c r="B296" s="8" t="s">
        <v>931</v>
      </c>
      <c r="C296" s="8" t="s">
        <v>82</v>
      </c>
      <c r="D296" s="9">
        <v>8420</v>
      </c>
      <c r="E296" s="8" t="s">
        <v>198</v>
      </c>
      <c r="F296" s="8" t="s">
        <v>67</v>
      </c>
      <c r="G296" s="10">
        <v>29757060578.89</v>
      </c>
      <c r="H296" s="10">
        <v>3</v>
      </c>
      <c r="I296" s="9">
        <v>420234959</v>
      </c>
      <c r="J296" s="9">
        <v>824157988</v>
      </c>
      <c r="K296" s="11">
        <v>100</v>
      </c>
      <c r="L296" s="12">
        <v>44795</v>
      </c>
      <c r="M296" s="12">
        <v>40623</v>
      </c>
      <c r="N296" s="9">
        <f t="shared" si="28"/>
        <v>4172</v>
      </c>
      <c r="O296" s="13">
        <v>20.33</v>
      </c>
      <c r="P296" s="13">
        <v>16.38</v>
      </c>
      <c r="Q296" s="13">
        <v>7.3</v>
      </c>
      <c r="R296" s="8" t="s">
        <v>932</v>
      </c>
      <c r="S296" s="13">
        <v>32390</v>
      </c>
      <c r="T296" s="13">
        <v>0.08</v>
      </c>
      <c r="U296" s="13">
        <v>125.9277</v>
      </c>
      <c r="V296" s="13">
        <f t="shared" si="29"/>
        <v>0.000635285167600139</v>
      </c>
      <c r="W296" s="13">
        <v>1.54</v>
      </c>
      <c r="X296" s="13">
        <f t="shared" si="30"/>
        <v>0.0519480519480519</v>
      </c>
      <c r="Y296" s="13">
        <v>0.065096</v>
      </c>
      <c r="Z296" s="13">
        <v>0.120574</v>
      </c>
      <c r="AA296" s="13">
        <v>0.386</v>
      </c>
      <c r="AB296" s="13">
        <v>1.3766</v>
      </c>
      <c r="AC296" s="13">
        <v>-0.0601</v>
      </c>
      <c r="AD296" s="13">
        <v>1.4284</v>
      </c>
      <c r="AE296" s="13">
        <v>-0.097335</v>
      </c>
      <c r="AF296" s="13">
        <v>0.201</v>
      </c>
      <c r="AG296" s="13">
        <v>184.311215176439</v>
      </c>
      <c r="AH296" s="13">
        <f t="shared" si="31"/>
        <v>0.00109054676790875</v>
      </c>
      <c r="AI296" s="13">
        <v>2.19</v>
      </c>
      <c r="AJ296" s="13">
        <f t="shared" si="32"/>
        <v>0.0917808219178082</v>
      </c>
      <c r="AK296" s="13">
        <v>0.147073</v>
      </c>
      <c r="AL296" s="13">
        <v>0.178617</v>
      </c>
      <c r="AM296" s="13">
        <v>0.5345</v>
      </c>
      <c r="AN296" s="13">
        <v>1.5349</v>
      </c>
      <c r="AO296" s="13">
        <v>0.0739125669483552</v>
      </c>
      <c r="AP296" s="13">
        <v>2.34765134441598</v>
      </c>
      <c r="AQ296" s="13">
        <v>0.273564</v>
      </c>
      <c r="AR296" s="13">
        <v>0.25</v>
      </c>
      <c r="AS296" s="13">
        <v>135.576301453963</v>
      </c>
      <c r="AT296" s="13">
        <f t="shared" si="33"/>
        <v>0.00184398008589201</v>
      </c>
      <c r="AU296" s="13">
        <v>2.4</v>
      </c>
      <c r="AV296" s="13">
        <f t="shared" si="34"/>
        <v>0.104166666666667</v>
      </c>
      <c r="AW296" s="13">
        <v>0.108628</v>
      </c>
      <c r="AX296" s="13">
        <v>0.173324</v>
      </c>
      <c r="AY296" s="13">
        <v>0.4607</v>
      </c>
      <c r="AZ296" s="13">
        <v>1.3629</v>
      </c>
      <c r="BA296" s="13">
        <v>0.0116128123543477</v>
      </c>
      <c r="BB296" s="13">
        <v>2.15740313943607</v>
      </c>
      <c r="BC296" s="13">
        <v>0.235182</v>
      </c>
    </row>
    <row r="297" spans="1:55">
      <c r="A297" s="8" t="s">
        <v>933</v>
      </c>
      <c r="B297" s="8" t="s">
        <v>934</v>
      </c>
      <c r="C297" s="8" t="s">
        <v>82</v>
      </c>
      <c r="D297" s="9">
        <v>4740</v>
      </c>
      <c r="E297" s="8" t="s">
        <v>78</v>
      </c>
      <c r="F297" s="8" t="s">
        <v>67</v>
      </c>
      <c r="G297" s="10">
        <v>42579628130.93</v>
      </c>
      <c r="H297" s="10">
        <v>8</v>
      </c>
      <c r="I297" s="9">
        <v>536455724</v>
      </c>
      <c r="J297" s="9">
        <v>2145205724</v>
      </c>
      <c r="K297" s="11">
        <v>100</v>
      </c>
      <c r="L297" s="12">
        <v>44399</v>
      </c>
      <c r="M297" s="12">
        <v>40596</v>
      </c>
      <c r="N297" s="9">
        <f t="shared" si="28"/>
        <v>3803</v>
      </c>
      <c r="O297" s="13">
        <v>71.4</v>
      </c>
      <c r="P297" s="13">
        <v>1.32</v>
      </c>
      <c r="Q297" s="13">
        <v>1.08</v>
      </c>
      <c r="R297" s="8" t="s">
        <v>935</v>
      </c>
      <c r="S297" s="13">
        <v>39996</v>
      </c>
      <c r="T297" s="13"/>
      <c r="U297" s="13">
        <v>26.836</v>
      </c>
      <c r="V297" s="13">
        <f t="shared" si="29"/>
        <v>0</v>
      </c>
      <c r="W297" s="13">
        <v>-1.27</v>
      </c>
      <c r="X297" s="13">
        <f t="shared" si="30"/>
        <v>0</v>
      </c>
      <c r="Y297" s="13">
        <v>-0.064689</v>
      </c>
      <c r="Z297" s="13">
        <v>-0.366794</v>
      </c>
      <c r="AA297" s="13">
        <v>0.1562</v>
      </c>
      <c r="AB297" s="13">
        <v>1.1292</v>
      </c>
      <c r="AC297" s="13">
        <v>-0.7268</v>
      </c>
      <c r="AD297" s="13">
        <v>1.3315</v>
      </c>
      <c r="AE297" s="13">
        <v>-0.546177</v>
      </c>
      <c r="AF297" s="13">
        <v>3.6</v>
      </c>
      <c r="AG297" s="13">
        <v>59.1647318995467</v>
      </c>
      <c r="AH297" s="13">
        <f t="shared" si="31"/>
        <v>0.0608470601390079</v>
      </c>
      <c r="AI297" s="13">
        <v>9.4</v>
      </c>
      <c r="AJ297" s="13">
        <f t="shared" si="32"/>
        <v>0.382978723404255</v>
      </c>
      <c r="AK297" s="13">
        <v>0.61673</v>
      </c>
      <c r="AL297" s="13">
        <v>0.617988</v>
      </c>
      <c r="AM297" s="13">
        <v>0.828</v>
      </c>
      <c r="AN297" s="13">
        <v>1.2053</v>
      </c>
      <c r="AO297" s="13">
        <v>0.496663861594179</v>
      </c>
      <c r="AP297" s="13">
        <v>4.51872869558164</v>
      </c>
      <c r="AQ297" s="13">
        <v>1.856415</v>
      </c>
      <c r="AR297" s="13">
        <v>0.41804</v>
      </c>
      <c r="AS297" s="13">
        <v>43.0660845032755</v>
      </c>
      <c r="AT297" s="13">
        <f t="shared" si="33"/>
        <v>0.00970694236129604</v>
      </c>
      <c r="AU297" s="13">
        <v>2.7</v>
      </c>
      <c r="AV297" s="13">
        <f t="shared" si="34"/>
        <v>0.15482962962963</v>
      </c>
      <c r="AW297" s="13">
        <v>0.128889</v>
      </c>
      <c r="AX297" s="13">
        <v>0.35291</v>
      </c>
      <c r="AY297" s="13">
        <v>0.3172</v>
      </c>
      <c r="AZ297" s="13">
        <v>1.1514</v>
      </c>
      <c r="BA297" s="13">
        <v>0.535324025486189</v>
      </c>
      <c r="BB297" s="13">
        <v>3.34310972852075</v>
      </c>
      <c r="BC297" s="13">
        <v>-0.472239</v>
      </c>
    </row>
    <row r="298" spans="1:55">
      <c r="A298" s="8" t="s">
        <v>936</v>
      </c>
      <c r="B298" s="8" t="s">
        <v>937</v>
      </c>
      <c r="C298" s="8" t="s">
        <v>77</v>
      </c>
      <c r="D298" s="9">
        <v>11000</v>
      </c>
      <c r="E298" s="8" t="s">
        <v>83</v>
      </c>
      <c r="F298" s="8" t="s">
        <v>67</v>
      </c>
      <c r="G298" s="10">
        <v>30110750877.18</v>
      </c>
      <c r="H298" s="10">
        <v>16</v>
      </c>
      <c r="I298" s="9">
        <v>448547252</v>
      </c>
      <c r="J298" s="9">
        <v>1327529398</v>
      </c>
      <c r="K298" s="11">
        <v>100</v>
      </c>
      <c r="L298" s="12">
        <v>43888</v>
      </c>
      <c r="M298" s="12">
        <v>38065</v>
      </c>
      <c r="N298" s="9">
        <f t="shared" si="28"/>
        <v>5823</v>
      </c>
      <c r="O298" s="13">
        <v>66.21</v>
      </c>
      <c r="P298" s="13">
        <v>1.99</v>
      </c>
      <c r="Q298" s="13">
        <v>1.89</v>
      </c>
      <c r="R298" s="8" t="s">
        <v>938</v>
      </c>
      <c r="S298" s="13">
        <v>52451</v>
      </c>
      <c r="T298" s="13">
        <v>0.058</v>
      </c>
      <c r="U298" s="13">
        <v>45.2712</v>
      </c>
      <c r="V298" s="13">
        <f t="shared" si="29"/>
        <v>0.00128116771810776</v>
      </c>
      <c r="W298" s="13">
        <v>0.5765</v>
      </c>
      <c r="X298" s="13">
        <f t="shared" si="30"/>
        <v>0.100607111882047</v>
      </c>
      <c r="Y298" s="13">
        <v>0.034765</v>
      </c>
      <c r="Z298" s="13">
        <v>0.065395</v>
      </c>
      <c r="AA298" s="13">
        <v>0.347</v>
      </c>
      <c r="AB298" s="13">
        <v>1.3296</v>
      </c>
      <c r="AC298" s="13">
        <v>0.2012</v>
      </c>
      <c r="AD298" s="13">
        <v>2.1893</v>
      </c>
      <c r="AE298" s="13">
        <v>0.022011</v>
      </c>
      <c r="AF298" s="13">
        <v>0.1983</v>
      </c>
      <c r="AG298" s="13">
        <v>54.7533856482059</v>
      </c>
      <c r="AH298" s="13">
        <f t="shared" si="31"/>
        <v>0.00362169384874372</v>
      </c>
      <c r="AI298" s="13">
        <v>1.9825</v>
      </c>
      <c r="AJ298" s="13">
        <f t="shared" si="32"/>
        <v>0.100025220680958</v>
      </c>
      <c r="AK298" s="13">
        <v>0.140437</v>
      </c>
      <c r="AL298" s="13">
        <v>0.258359</v>
      </c>
      <c r="AM298" s="13">
        <v>0.4136</v>
      </c>
      <c r="AN298" s="13">
        <v>1.3053</v>
      </c>
      <c r="AO298" s="13">
        <v>0.30399334899754</v>
      </c>
      <c r="AP298" s="13">
        <v>2.88947288848686</v>
      </c>
      <c r="AQ298" s="13">
        <v>0.087675</v>
      </c>
      <c r="AR298" s="13">
        <v>0.1118</v>
      </c>
      <c r="AS298" s="13">
        <v>56.0379213066655</v>
      </c>
      <c r="AT298" s="13">
        <f t="shared" si="33"/>
        <v>0.00199507757234924</v>
      </c>
      <c r="AU298" s="13">
        <v>1.1206</v>
      </c>
      <c r="AV298" s="13">
        <f t="shared" si="34"/>
        <v>0.0997679814385151</v>
      </c>
      <c r="AW298" s="13">
        <v>0.071223</v>
      </c>
      <c r="AX298" s="13">
        <v>0.145258</v>
      </c>
      <c r="AY298" s="13">
        <v>0.3557</v>
      </c>
      <c r="AZ298" s="13">
        <v>1.3403</v>
      </c>
      <c r="BA298" s="13">
        <v>0.175511079814471</v>
      </c>
      <c r="BB298" s="13">
        <v>2.8378090047887</v>
      </c>
      <c r="BC298" s="13">
        <v>-0.015857</v>
      </c>
    </row>
    <row r="299" spans="1:55">
      <c r="A299" s="8" t="s">
        <v>939</v>
      </c>
      <c r="B299" s="8" t="s">
        <v>940</v>
      </c>
      <c r="C299" s="8" t="s">
        <v>157</v>
      </c>
      <c r="D299" s="9">
        <v>15796</v>
      </c>
      <c r="E299" s="8" t="s">
        <v>83</v>
      </c>
      <c r="F299" s="8" t="s">
        <v>67</v>
      </c>
      <c r="G299" s="10">
        <v>68967567093.2</v>
      </c>
      <c r="H299" s="10">
        <v>10</v>
      </c>
      <c r="I299" s="9">
        <v>1347654391</v>
      </c>
      <c r="J299" s="9">
        <v>3643140112</v>
      </c>
      <c r="K299" s="11">
        <v>36.9916</v>
      </c>
      <c r="L299" s="12">
        <v>45086</v>
      </c>
      <c r="M299" s="12">
        <v>40001</v>
      </c>
      <c r="N299" s="9">
        <f t="shared" si="28"/>
        <v>5085</v>
      </c>
      <c r="O299" s="13">
        <v>62.24</v>
      </c>
      <c r="P299" s="13">
        <v>1.87</v>
      </c>
      <c r="Q299" s="13">
        <v>1.45</v>
      </c>
      <c r="R299" s="8" t="s">
        <v>941</v>
      </c>
      <c r="S299" s="13">
        <v>48806</v>
      </c>
      <c r="T299" s="13">
        <v>0.09341</v>
      </c>
      <c r="U299" s="13">
        <v>12.8518</v>
      </c>
      <c r="V299" s="13">
        <f t="shared" si="29"/>
        <v>0.0072682425808058</v>
      </c>
      <c r="W299" s="13">
        <v>0.61</v>
      </c>
      <c r="X299" s="13">
        <f t="shared" si="30"/>
        <v>0.153131147540984</v>
      </c>
      <c r="Y299" s="13">
        <v>0.101415</v>
      </c>
      <c r="Z299" s="13">
        <v>0.048405</v>
      </c>
      <c r="AA299" s="13">
        <v>0.7041</v>
      </c>
      <c r="AB299" s="13">
        <v>2.9588</v>
      </c>
      <c r="AC299" s="13">
        <v>0.0526</v>
      </c>
      <c r="AD299" s="13">
        <v>0.4576</v>
      </c>
      <c r="AE299" s="13">
        <v>-0.100265</v>
      </c>
      <c r="AF299" s="13"/>
      <c r="AG299" s="13"/>
      <c r="AH299" s="13" t="e">
        <f t="shared" si="31"/>
        <v>#DIV/0!</v>
      </c>
      <c r="AI299" s="13">
        <v>0.7</v>
      </c>
      <c r="AJ299" s="13">
        <f t="shared" si="32"/>
        <v>0</v>
      </c>
      <c r="AK299" s="13">
        <v>0.204845</v>
      </c>
      <c r="AL299" s="13">
        <v>0.045222</v>
      </c>
      <c r="AM299" s="13">
        <v>1.1535</v>
      </c>
      <c r="AN299" s="13">
        <v>3.9139</v>
      </c>
      <c r="AO299" s="13">
        <v>0.119110150384137</v>
      </c>
      <c r="AP299" s="13">
        <v>0.419970832188104</v>
      </c>
      <c r="AQ299" s="13">
        <v>0.697114</v>
      </c>
      <c r="AR299" s="13">
        <v>0.11959</v>
      </c>
      <c r="AS299" s="13">
        <v>15.061847287691</v>
      </c>
      <c r="AT299" s="13">
        <f t="shared" si="33"/>
        <v>0.00793992912793191</v>
      </c>
      <c r="AU299" s="13">
        <v>0.85</v>
      </c>
      <c r="AV299" s="13">
        <f t="shared" si="34"/>
        <v>0.140694117647059</v>
      </c>
      <c r="AW299" s="13">
        <v>0.175529</v>
      </c>
      <c r="AX299" s="13">
        <v>0.056266</v>
      </c>
      <c r="AY299" s="13">
        <v>0.8996</v>
      </c>
      <c r="AZ299" s="13">
        <v>3.4483</v>
      </c>
      <c r="BA299" s="13">
        <v>0.160488148440869</v>
      </c>
      <c r="BB299" s="13">
        <v>0.556732743193861</v>
      </c>
      <c r="BC299" s="13">
        <v>0.079381</v>
      </c>
    </row>
    <row r="300" spans="1:55">
      <c r="A300" s="8" t="s">
        <v>942</v>
      </c>
      <c r="B300" s="8" t="s">
        <v>943</v>
      </c>
      <c r="C300" s="8" t="s">
        <v>82</v>
      </c>
      <c r="D300" s="9">
        <v>2521</v>
      </c>
      <c r="E300" s="8" t="s">
        <v>104</v>
      </c>
      <c r="F300" s="8" t="s">
        <v>67</v>
      </c>
      <c r="G300" s="10">
        <v>12319212489.52</v>
      </c>
      <c r="H300" s="10">
        <v>4</v>
      </c>
      <c r="I300" s="9">
        <v>74313429</v>
      </c>
      <c r="J300" s="9">
        <v>412873817</v>
      </c>
      <c r="K300" s="11">
        <v>24.9207</v>
      </c>
      <c r="L300" s="12">
        <v>44932</v>
      </c>
      <c r="M300" s="12">
        <v>38946</v>
      </c>
      <c r="N300" s="9">
        <f t="shared" si="28"/>
        <v>5986</v>
      </c>
      <c r="O300" s="13">
        <v>72.22</v>
      </c>
      <c r="P300" s="13">
        <v>6.91</v>
      </c>
      <c r="Q300" s="13">
        <v>2.32</v>
      </c>
      <c r="R300" s="8" t="s">
        <v>944</v>
      </c>
      <c r="S300" s="13">
        <v>5979</v>
      </c>
      <c r="T300" s="13"/>
      <c r="U300" s="13">
        <v>171.8716</v>
      </c>
      <c r="V300" s="13">
        <f t="shared" si="29"/>
        <v>0</v>
      </c>
      <c r="W300" s="13">
        <v>9.25</v>
      </c>
      <c r="X300" s="13">
        <f t="shared" si="30"/>
        <v>0</v>
      </c>
      <c r="Y300" s="13">
        <v>1.836399</v>
      </c>
      <c r="Z300" s="13">
        <v>0.636731</v>
      </c>
      <c r="AA300" s="13">
        <v>1.3601</v>
      </c>
      <c r="AB300" s="13">
        <v>2.1206</v>
      </c>
      <c r="AC300" s="13">
        <v>0.697</v>
      </c>
      <c r="AD300" s="13">
        <v>1.6324</v>
      </c>
      <c r="AE300" s="13">
        <v>9.363091</v>
      </c>
      <c r="AF300" s="13"/>
      <c r="AG300" s="13"/>
      <c r="AH300" s="13" t="e">
        <f t="shared" si="31"/>
        <v>#DIV/0!</v>
      </c>
      <c r="AI300" s="13">
        <v>-0.78</v>
      </c>
      <c r="AJ300" s="13">
        <f t="shared" si="32"/>
        <v>0</v>
      </c>
      <c r="AK300" s="13">
        <v>-0.446164</v>
      </c>
      <c r="AL300" s="13">
        <v>-0.401523</v>
      </c>
      <c r="AM300" s="13">
        <v>0.478</v>
      </c>
      <c r="AN300" s="13">
        <v>2.3249</v>
      </c>
      <c r="AO300" s="13">
        <v>-0.367774589413847</v>
      </c>
      <c r="AP300" s="13">
        <v>1.38846160274635</v>
      </c>
      <c r="AQ300" s="13">
        <v>-0.117292</v>
      </c>
      <c r="AR300" s="13"/>
      <c r="AS300" s="13">
        <v>78.9496374056205</v>
      </c>
      <c r="AT300" s="13">
        <f t="shared" si="33"/>
        <v>0</v>
      </c>
      <c r="AU300" s="13">
        <v>-1.95</v>
      </c>
      <c r="AV300" s="13">
        <f t="shared" si="34"/>
        <v>0</v>
      </c>
      <c r="AW300" s="13">
        <v>-1.437578</v>
      </c>
      <c r="AX300" s="13">
        <v>-1.389108</v>
      </c>
      <c r="AY300" s="13">
        <v>0.3289</v>
      </c>
      <c r="AZ300" s="13">
        <v>3.1464</v>
      </c>
      <c r="BA300" s="13">
        <v>-1.09518270808983</v>
      </c>
      <c r="BB300" s="13">
        <v>0.402055227260759</v>
      </c>
      <c r="BC300" s="13">
        <v>-0.201073</v>
      </c>
    </row>
    <row r="301" spans="1:55">
      <c r="A301" s="8" t="s">
        <v>945</v>
      </c>
      <c r="B301" s="8" t="s">
        <v>946</v>
      </c>
      <c r="C301" s="8" t="s">
        <v>57</v>
      </c>
      <c r="D301" s="9">
        <v>19186</v>
      </c>
      <c r="E301" s="8" t="s">
        <v>198</v>
      </c>
      <c r="F301" s="8" t="s">
        <v>67</v>
      </c>
      <c r="G301" s="10">
        <v>351368416000</v>
      </c>
      <c r="H301" s="10">
        <v>4</v>
      </c>
      <c r="I301" s="9">
        <v>1799633574</v>
      </c>
      <c r="J301" s="9">
        <v>8000346759</v>
      </c>
      <c r="K301" s="11">
        <v>24.9934</v>
      </c>
      <c r="L301" s="12">
        <v>44028</v>
      </c>
      <c r="M301" s="12">
        <v>38043</v>
      </c>
      <c r="N301" s="9">
        <f t="shared" si="28"/>
        <v>5985</v>
      </c>
      <c r="O301" s="13">
        <v>60.77</v>
      </c>
      <c r="P301" s="13">
        <v>14.06</v>
      </c>
      <c r="Q301" s="13">
        <v>1.59</v>
      </c>
      <c r="R301" s="8" t="s">
        <v>947</v>
      </c>
      <c r="S301" s="13">
        <v>325962</v>
      </c>
      <c r="T301" s="13"/>
      <c r="U301" s="13">
        <v>72.3578</v>
      </c>
      <c r="V301" s="13">
        <f t="shared" si="29"/>
        <v>0</v>
      </c>
      <c r="W301" s="13">
        <v>0.46</v>
      </c>
      <c r="X301" s="13">
        <f t="shared" si="30"/>
        <v>0</v>
      </c>
      <c r="Y301" s="13">
        <v>0.02545</v>
      </c>
      <c r="Z301" s="13">
        <v>0.092968</v>
      </c>
      <c r="AA301" s="13">
        <v>0.1671</v>
      </c>
      <c r="AB301" s="13">
        <v>2.3803</v>
      </c>
      <c r="AC301" s="13">
        <v>0.392</v>
      </c>
      <c r="AD301" s="13">
        <v>0.8181</v>
      </c>
      <c r="AE301" s="13">
        <v>0.277238</v>
      </c>
      <c r="AF301" s="13"/>
      <c r="AG301" s="13">
        <v>43.6262234650419</v>
      </c>
      <c r="AH301" s="13">
        <f t="shared" si="31"/>
        <v>0</v>
      </c>
      <c r="AI301" s="13">
        <v>1.53</v>
      </c>
      <c r="AJ301" s="13">
        <f t="shared" si="32"/>
        <v>0</v>
      </c>
      <c r="AK301" s="13">
        <v>0.100037</v>
      </c>
      <c r="AL301" s="13">
        <v>0.295935</v>
      </c>
      <c r="AM301" s="13">
        <v>0.1851</v>
      </c>
      <c r="AN301" s="13">
        <v>2.2057</v>
      </c>
      <c r="AO301" s="13">
        <v>0.738976228410954</v>
      </c>
      <c r="AP301" s="13">
        <v>1.63120708835766</v>
      </c>
      <c r="AQ301" s="13">
        <v>0.389705</v>
      </c>
      <c r="AR301" s="13"/>
      <c r="AS301" s="13">
        <v>53.7430809597088</v>
      </c>
      <c r="AT301" s="13">
        <f t="shared" si="33"/>
        <v>0</v>
      </c>
      <c r="AU301" s="13">
        <v>0.61</v>
      </c>
      <c r="AV301" s="13">
        <f t="shared" si="34"/>
        <v>0</v>
      </c>
      <c r="AW301" s="13">
        <v>0.034967</v>
      </c>
      <c r="AX301" s="13">
        <v>0.14135</v>
      </c>
      <c r="AY301" s="13">
        <v>0.1406</v>
      </c>
      <c r="AZ301" s="13">
        <v>2.3331</v>
      </c>
      <c r="BA301" s="13">
        <v>0.509338000692811</v>
      </c>
      <c r="BB301" s="13">
        <v>1.01110459147813</v>
      </c>
      <c r="BC301" s="13">
        <v>-0.086147</v>
      </c>
    </row>
  </sheetData>
  <autoFilter xmlns:etc="http://www.wps.cn/officeDocument/2017/etCustomData" ref="A1:BC3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周柏林</dc:creator>
  <cp:lastModifiedBy>神行千里</cp:lastModifiedBy>
  <dcterms:created xsi:type="dcterms:W3CDTF">2023-05-12T11:15:00Z</dcterms:created>
  <dcterms:modified xsi:type="dcterms:W3CDTF">2025-12-29T12:09:38Z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888034AE03954072BF1EB71141415467_12</vt:lpwstr>
  </property>
  <property fmtid="{D5CDD505-2E9C-101B-9397-08002B2CF9AE}" pid="4" name="CalculationRule">
    <vt:i4>0</vt:i4>
  </property>
</Properties>
</file>